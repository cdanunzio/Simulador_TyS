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020" tabRatio="1000" firstSheet="0" activeTab="2" autoFilterDateGrouping="1"/>
  </bookViews>
  <sheets>
    <sheet xmlns:r="http://schemas.openxmlformats.org/officeDocument/2006/relationships" name="Inicio" sheetId="1" state="visible" r:id="rId1"/>
    <sheet xmlns:r="http://schemas.openxmlformats.org/officeDocument/2006/relationships" name="1-Fichas de entidades" sheetId="2" state="visible" r:id="rId2"/>
    <sheet xmlns:r="http://schemas.openxmlformats.org/officeDocument/2006/relationships" name="2-Atributos" sheetId="3" state="visible" r:id="rId3"/>
    <sheet xmlns:r="http://schemas.openxmlformats.org/officeDocument/2006/relationships" name="3-Auditoría y ciclo de vida" sheetId="4" state="visible" r:id="rId4"/>
    <sheet xmlns:r="http://schemas.openxmlformats.org/officeDocument/2006/relationships" name="4-Convenciones" sheetId="5" state="visible" r:id="rId5"/>
    <sheet xmlns:r="http://schemas.openxmlformats.org/officeDocument/2006/relationships" name="5-Orden de carga" sheetId="6" state="visible" r:id="rId6"/>
    <sheet xmlns:r="http://schemas.openxmlformats.org/officeDocument/2006/relationships" name="6-Definiciones previas" sheetId="7" state="visible" r:id="rId7"/>
    <sheet xmlns:r="http://schemas.openxmlformats.org/officeDocument/2006/relationships" name="7-Reglas por maestro" sheetId="8" state="visible" r:id="rId8"/>
    <sheet xmlns:r="http://schemas.openxmlformats.org/officeDocument/2006/relationships" name="8-Mapeo de fuentes" sheetId="9" state="visible" r:id="rId9"/>
    <sheet xmlns:r="http://schemas.openxmlformats.org/officeDocument/2006/relationships" name="9-Tablero" sheetId="10" state="visible" r:id="rId10"/>
    <sheet xmlns:r="http://schemas.openxmlformats.org/officeDocument/2006/relationships" name="0-Cruce v2.2 → Modelo" sheetId="11" state="visible" r:id="rId11"/>
    <sheet xmlns:r="http://schemas.openxmlformats.org/officeDocument/2006/relationships" name="TX y EV" sheetId="12" state="visible" r:id="rId12"/>
  </sheets>
  <definedNames>
    <definedName name="_xlnm._FilterDatabase" localSheetId="1" hidden="1">'1-Fichas de entidades'!$A$1:$P$36</definedName>
    <definedName name="_xlnm._FilterDatabase" localSheetId="2" hidden="1">'2-Atributos'!$A$1:$N$375</definedName>
    <definedName name="_xlnm._FilterDatabase" localSheetId="7" hidden="1">'7-Reglas por maestro'!$A$1:$K$59</definedName>
    <definedName name="_xlnm._FilterDatabase" localSheetId="8" hidden="1">'8-Mapeo de fuentes'!$A$1:$I$32</definedName>
  </definedNames>
  <calcPr calcId="191029" fullCalcOnLoad="1" iterateDelta="0.0001"/>
</workbook>
</file>

<file path=xl/styles.xml><?xml version="1.0" encoding="utf-8"?>
<styleSheet xmlns="http://schemas.openxmlformats.org/spreadsheetml/2006/main">
  <numFmts count="0"/>
  <fonts count="7">
    <font>
      <name val="Calibri"/>
      <charset val="1"/>
      <family val="2"/>
      <color theme="1"/>
      <sz val="11"/>
    </font>
    <font>
      <name val="Arial"/>
      <family val="2"/>
      <b val="1"/>
      <color rgb="FF354A5F"/>
      <sz val="14"/>
    </font>
    <font>
      <name val="Arial"/>
      <family val="2"/>
      <i val="1"/>
      <color rgb="FF595959"/>
      <sz val="10"/>
    </font>
    <font>
      <name val="Arial"/>
      <family val="2"/>
      <b val="1"/>
      <color rgb="FF354A5F"/>
      <sz val="12"/>
    </font>
    <font>
      <name val="Arial"/>
      <family val="2"/>
      <b val="1"/>
      <sz val="10"/>
    </font>
    <font>
      <name val="Arial"/>
      <family val="2"/>
      <sz val="10"/>
    </font>
    <font>
      <name val="Arial"/>
      <family val="2"/>
      <b val="1"/>
      <color rgb="FFFFFFFF"/>
      <sz val="10"/>
    </font>
  </fonts>
  <fills count="12">
    <fill>
      <patternFill/>
    </fill>
    <fill>
      <patternFill patternType="gray125"/>
    </fill>
    <fill>
      <patternFill patternType="solid">
        <fgColor rgb="FFDCE6F1"/>
        <bgColor rgb="FFE7E6E6"/>
      </patternFill>
    </fill>
    <fill>
      <patternFill patternType="solid">
        <fgColor rgb="FF354A5F"/>
        <bgColor rgb="FF595959"/>
      </patternFill>
    </fill>
    <fill>
      <patternFill patternType="solid">
        <fgColor rgb="FFFFFF99"/>
        <bgColor rgb="FFE2F0D9"/>
      </patternFill>
    </fill>
    <fill>
      <patternFill patternType="solid">
        <fgColor rgb="FFE2F0D9"/>
        <bgColor rgb="FFE7E6E6"/>
      </patternFill>
    </fill>
    <fill>
      <patternFill patternType="solid">
        <fgColor rgb="FFFCE4D6"/>
        <bgColor rgb="FFE7E6E6"/>
      </patternFill>
    </fill>
    <fill>
      <patternFill patternType="solid">
        <fgColor rgb="FFF3F5F7"/>
        <bgColor rgb="FFF3EFFB"/>
      </patternFill>
    </fill>
    <fill>
      <patternFill patternType="solid">
        <fgColor rgb="FFF3EFFB"/>
        <bgColor rgb="FFF3F5F7"/>
      </patternFill>
    </fill>
    <fill>
      <patternFill patternType="solid">
        <fgColor rgb="FFE7E6E6"/>
        <bgColor rgb="FFDCE6F1"/>
      </patternFill>
    </fill>
    <fill>
      <patternFill patternType="solid">
        <fgColor rgb="FFE2F0D9"/>
      </patternFill>
    </fill>
    <fill>
      <patternFill patternType="solid">
        <fgColor rgb="FFF3EF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1" applyAlignment="1" pivotButton="0" quotePrefix="0" xfId="0">
      <alignment horizontal="center"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4" fillId="7"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4" fillId="8" borderId="1" applyAlignment="1" pivotButton="0" quotePrefix="0" xfId="0">
      <alignment vertical="top" wrapText="1"/>
    </xf>
    <xf numFmtId="0" fontId="3" fillId="0" borderId="0" pivotButton="0" quotePrefix="0" xfId="0"/>
    <xf numFmtId="0" fontId="6" fillId="3" borderId="1" pivotButton="0" quotePrefix="0" xfId="0"/>
    <xf numFmtId="0" fontId="0" fillId="0" borderId="1" pivotButton="0" quotePrefix="0" xfId="0"/>
    <xf numFmtId="0" fontId="0" fillId="4" borderId="1" pivotButton="0" quotePrefix="0" xfId="0"/>
    <xf numFmtId="0" fontId="4" fillId="0" borderId="0" pivotButton="0" quotePrefix="0" xfId="0"/>
    <xf numFmtId="0" fontId="4" fillId="0" borderId="1" pivotButton="0" quotePrefix="0" xfId="0"/>
    <xf numFmtId="0" fontId="4" fillId="9" borderId="1" applyAlignment="1" pivotButton="0" quotePrefix="0" xfId="0">
      <alignment vertical="top" wrapText="1"/>
    </xf>
    <xf numFmtId="0" fontId="5" fillId="9" borderId="1" applyAlignment="1" pivotButton="0" quotePrefix="0" xfId="0">
      <alignment vertical="top" wrapText="1"/>
    </xf>
    <xf numFmtId="0" fontId="6" fillId="3" borderId="1" applyAlignment="1" pivotButton="0" quotePrefix="0" xfId="0">
      <alignment horizontal="center" vertical="center" wrapText="1"/>
    </xf>
    <xf numFmtId="0" fontId="0" fillId="0" borderId="0" applyAlignment="1" pivotButton="0" quotePrefix="0" xfId="0">
      <alignment vertical="center"/>
    </xf>
    <xf numFmtId="0" fontId="5" fillId="0" borderId="1" applyAlignment="1" pivotButton="0" quotePrefix="0" xfId="0">
      <alignment vertical="center" wrapText="1"/>
    </xf>
    <xf numFmtId="0" fontId="4" fillId="0" borderId="1" applyAlignment="1" pivotButton="0" quotePrefix="0" xfId="0">
      <alignment vertical="center" wrapText="1"/>
    </xf>
    <xf numFmtId="0" fontId="5" fillId="4" borderId="1" applyAlignment="1" pivotButton="0" quotePrefix="0" xfId="0">
      <alignment vertical="center" wrapText="1"/>
    </xf>
    <xf numFmtId="0" fontId="4" fillId="7" borderId="1" applyAlignment="1" pivotButton="0" quotePrefix="0" xfId="0">
      <alignment vertical="center" wrapText="1"/>
    </xf>
    <xf numFmtId="0" fontId="5" fillId="7" borderId="1" applyAlignment="1" pivotButton="0" quotePrefix="0" xfId="0">
      <alignment vertical="center" wrapText="1"/>
    </xf>
    <xf numFmtId="0" fontId="2" fillId="0" borderId="0" applyAlignment="1" pivotButton="0" quotePrefix="0" xfId="0">
      <alignment vertical="top" wrapText="1"/>
    </xf>
    <xf numFmtId="0" fontId="4" fillId="10"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4" fillId="1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7E6E6"/>
      <rgbColor rgb="FF808080"/>
      <rgbColor rgb="FF9999FF"/>
      <rgbColor rgb="FF993366"/>
      <rgbColor rgb="FFF3F5F7"/>
      <rgbColor rgb="FFDCE6F1"/>
      <rgbColor rgb="FF660066"/>
      <rgbColor rgb="FFFF8080"/>
      <rgbColor rgb="FF0A6ED1"/>
      <rgbColor rgb="FFD9D9D9"/>
      <rgbColor rgb="FF000080"/>
      <rgbColor rgb="FFFF00FF"/>
      <rgbColor rgb="FFFFFF00"/>
      <rgbColor rgb="FF00FFFF"/>
      <rgbColor rgb="FF800080"/>
      <rgbColor rgb="FF800000"/>
      <rgbColor rgb="FF008080"/>
      <rgbColor rgb="FF0000FF"/>
      <rgbColor rgb="FF00CCFF"/>
      <rgbColor rgb="FFF3EFFB"/>
      <rgbColor rgb="FFE2F0D9"/>
      <rgbColor rgb="FFFFFF99"/>
      <rgbColor rgb="FF99CCFF"/>
      <rgbColor rgb="FFFF99CC"/>
      <rgbColor rgb="FFCC99FF"/>
      <rgbColor rgb="FFFCE4D6"/>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333399"/>
      <rgbColor rgb="FF354A5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theme="0" tint="-0.3499862666707358"/>
    <outlinePr summaryBelow="1" summaryRight="1"/>
    <pageSetUpPr/>
  </sheetPr>
  <dimension ref="A1:B44"/>
  <sheetViews>
    <sheetView zoomScaleNormal="100" workbookViewId="0">
      <selection activeCell="A1" sqref="A1"/>
    </sheetView>
  </sheetViews>
  <sheetFormatPr baseColWidth="10" defaultColWidth="8.6328125" defaultRowHeight="14.5"/>
  <cols>
    <col width="36" customWidth="1" min="1" max="1"/>
    <col width="125" customWidth="1" min="2" max="2"/>
  </cols>
  <sheetData>
    <row r="1" ht="18" customHeight="1">
      <c r="A1" s="1" t="inlineStr">
        <is>
          <t>Master Data del circuito TO-BE — descarga, transporte y almacenamiento de fertilizantes</t>
        </is>
      </c>
    </row>
    <row r="2">
      <c r="A2" s="2" t="inlineStr">
        <is>
          <t>Versión 3.1 · 15/09/2026 · Actualizado con la revisión grupal del FD (workflow de recepción, transporte y depósito por buque · camión · ferrocarril). Base: v3.0 del 09/09/2026 sobre el "Modelo de sistema basado en Master Data y Operativos" (30 maestros M-01..M-30). El Excel v2.2 (MD-00..MD-37) queda como referencia secundaria: ver hoja 0-Cruce.</t>
        </is>
      </c>
    </row>
    <row r="4" ht="15.5" customHeight="1">
      <c r="A4" s="3" t="inlineStr">
        <is>
          <t>1. Qué es este archivo y cómo leerlo en 5 minutos</t>
        </is>
      </c>
      <c r="B4" s="4" t="n"/>
    </row>
    <row r="5" ht="37.5" customHeight="1">
      <c r="A5" s="5" t="inlineStr">
        <is>
          <t>Qué es un "maestro" (M)</t>
        </is>
      </c>
      <c r="B5" s="6" t="inlineStr">
        <is>
          <t>Una lista de referencia que el sistema usa todo el tiempo y cambia poco: clientes, productos, buques, plantas, balanzas. El modelo define 30 maestros numerados M-01 a M-30 en 9 dominios (2.1 Organización y contabilidad … 2.9 Parámetros generales). M-10a es el detalle físico de M-10 Depósitos (celdas · boxes · tanques).</t>
        </is>
      </c>
    </row>
    <row r="6" ht="37.5" customHeight="1">
      <c r="A6" s="5" t="inlineStr">
        <is>
          <t>Qué es un "Operativo"</t>
        </is>
      </c>
      <c r="B6" s="6" t="inlineStr">
        <is>
          <t>El concepto central del modelo: TODO servicio (descarga, carga, transporte, almacenaje y sus combinaciones, despacho, movimiento, alquiler de maquinaria, flete, trasbordo, recepción por camión) origina un Operativo que consume la master data, se planifica progresivamente, se ejecuta, se mide, se concilia, se costea y se factura. No es un maestro: es la transacción que los usa a todos.</t>
        </is>
      </c>
    </row>
    <row r="7" ht="37.5" customHeight="1">
      <c r="A7" s="5" t="inlineStr">
        <is>
          <t>Qué es un "atributo"</t>
        </is>
      </c>
      <c r="B7" s="6" t="inlineStr">
        <is>
          <t>Cada campo de un maestro. La hoja 2 tiene uno por fila con tipo, obligatoriedad, valores admitidos y regla. Criterio del modelo: la master data se construye con información PROPIA del objeto; lo que depende de la ocasión (la agencia de un arribo, la ocupación de una celda) vive en el LineUp / Operativo y se marca como "contextual" o "calculado".</t>
        </is>
      </c>
    </row>
    <row r="8" ht="25" customHeight="1">
      <c r="A8" s="5" t="inlineStr">
        <is>
          <t>Regla general del modelo</t>
        </is>
      </c>
      <c r="B8" s="6" t="inlineStr">
        <is>
          <t>Master Data → Contrato / LineUp / Solicitud → Operativo → Planificación → Validaciones → Ejecución → Medición → Conciliación → Costeo → Facturación → KPIs.</t>
        </is>
      </c>
    </row>
    <row r="9" ht="25" customHeight="1">
      <c r="A9" s="5" t="inlineStr">
        <is>
          <t>Por dónde empezar</t>
        </is>
      </c>
      <c r="B9" s="6" t="inlineStr">
        <is>
          <t>Hoja 1 (columna "Descripción") para entender cada maestro → hoja 2 filtrada por el maestro que te toca → hoja 7 para ver cómo se comporta (validaciones, alertas, ABM) → hoja 5 para saber cuándo se carga.</t>
        </is>
      </c>
    </row>
    <row r="10" ht="25" customHeight="1">
      <c r="A10" s="5" t="inlineStr">
        <is>
          <t>Qué hacer en la sesión</t>
        </is>
      </c>
      <c r="B10" s="6" t="inlineStr">
        <is>
          <t>Leer las filas de tu área, marcar en la columna amarilla "Revisión en sesión" (Validado · Con cambios · Eliminar) y anotar en "Comentarios del equipo". Los atributos marcados ★ los propone el simulador y NO están en el documento del modelo: hay que validarlos o eliminarlos.</t>
        </is>
      </c>
    </row>
    <row r="12" ht="15.5" customHeight="1">
      <c r="A12" s="3" t="inlineStr">
        <is>
          <t>2. Leyenda de colores y símbolos</t>
        </is>
      </c>
      <c r="B12" s="4" t="n"/>
    </row>
    <row r="13">
      <c r="A13" s="5" t="inlineStr">
        <is>
          <t>Verde</t>
        </is>
      </c>
      <c r="B13" s="6" t="inlineStr">
        <is>
          <t>Maestro o atributo NUEVO respecto del Excel v2.2 (ej. M-05 Áreas; propiedad en M-11 Transporte).</t>
        </is>
      </c>
    </row>
    <row r="14">
      <c r="A14" s="5" t="inlineStr">
        <is>
          <t>Ámbar</t>
        </is>
      </c>
      <c r="B14" s="6" t="inlineStr">
        <is>
          <t>Maestro que FUSIONA dos o más maestros del Excel v2.2 (ej. M-06 Clientes / Proveedores = MD-04 + MD-05 + MD-21).</t>
        </is>
      </c>
    </row>
    <row r="15">
      <c r="A15" s="5" t="inlineStr">
        <is>
          <t>Violeta ★</t>
        </is>
      </c>
      <c r="B15" s="6" t="inlineStr">
        <is>
          <t>Atributo propuesto por el simulador (no está en el documento del modelo): a validar en sesión.</t>
        </is>
      </c>
    </row>
    <row r="16">
      <c r="A16" s="5" t="inlineStr">
        <is>
          <t>Amarillo</t>
        </is>
      </c>
      <c r="B16" s="6" t="inlineStr">
        <is>
          <t>Celdas para que el EQUIPO complete: estado de revisión (lista desplegable) y comentarios.</t>
        </is>
      </c>
    </row>
    <row r="17">
      <c r="A17" s="5" t="inlineStr">
        <is>
          <t>"Ref. M-nn"</t>
        </is>
      </c>
      <c r="B17" s="6" t="inlineStr">
        <is>
          <t>El campo no se escribe: se elige de otro maestro (CV-6 Referencia, no texto).</t>
        </is>
      </c>
    </row>
    <row r="18" ht="25" customHeight="1">
      <c r="A18" s="5" t="inlineStr">
        <is>
          <t>"Contextual" / "Calculado"</t>
        </is>
      </c>
      <c r="B18" s="6" t="inlineStr">
        <is>
          <t>Atributo que NO se carga en el ABM: contextual = depende de la ocasión y vive en el LineUp / Operativo / Contrato; calculado = lo deriva el sistema de las transacciones (ocupación, horómetro, homologado).</t>
        </is>
      </c>
    </row>
    <row r="19" ht="25" customHeight="1">
      <c r="A19" s="5" t="inlineStr">
        <is>
          <t>"Alta provisoria (72 h)"</t>
        </is>
      </c>
      <c r="B19" s="6" t="inlineStr">
        <is>
          <t>Registro que se carga con datos incompletos para no frenar la operación y que tiene 72 horas para regularizarse (se usa desde la bandeja de solicitudes de cada sector).</t>
        </is>
      </c>
    </row>
    <row r="21" ht="15.5" customHeight="1">
      <c r="A21" s="3" t="inlineStr">
        <is>
          <t>3. Índice de hojas</t>
        </is>
      </c>
      <c r="B21" s="4" t="n"/>
    </row>
    <row r="22" ht="25" customHeight="1">
      <c r="A22" s="5" t="inlineStr">
        <is>
          <t>1-Fichas de entidades</t>
        </is>
      </c>
      <c r="B22" s="6" t="inlineStr">
        <is>
          <t>Una fila por maestro (35 filas: M-01..M-34 + M-10a): descripción, dominio, nivel de carga, clave natural, dependencias, existe hoy, fuente de carga, administra (con los tramos de administración compartida en 17 · 31 · 32), autoriza, equivalente en el Excel v2.2 y transacciones que lo consumen. Nuevos en v3.1: M-31 Cupos de ingreso (faltaba en v3.0), M-32 Arribos ferroviarios, M-33 Régimen de turnos, M-34 Métodos seguros.</t>
        </is>
      </c>
    </row>
    <row r="23" ht="25" customHeight="1">
      <c r="A23" s="5" t="inlineStr">
        <is>
          <t>2-Atributos</t>
        </is>
      </c>
      <c r="B23" s="6" t="inlineStr">
        <is>
          <t>Los campos de cada maestro según el modelo (374 atributos): tipo de dato, obligatorio, valores admitidos, parámetro, regla, origen (Modelo / ★ Simulador / Revisión 15/09/2026), carácter (propio / contextual / calculado) y equivalente en v2.2. Nuevos en v3.1: atributo metodo_seguro (Ref. M-34) en los maestros de recursos y operación, composicion_roles en M-13, habilitada_fiscal y su vencimiento en M-26, tramo de portería en M-31, y los atributos completos de M-31, M-32, M-33 y M-34.</t>
        </is>
      </c>
    </row>
    <row r="24">
      <c r="A24" s="5" t="inlineStr">
        <is>
          <t>3-Auditoría y ciclo de vida</t>
        </is>
      </c>
      <c r="B24" s="6" t="inlineStr">
        <is>
          <t>Los 7 campos comunes a todos los maestros y los 6 estados por los que pasa cualquier alta (heredado del v2.2).</t>
        </is>
      </c>
    </row>
    <row r="25">
      <c r="A25" s="5" t="inlineStr">
        <is>
          <t>4-Convenciones</t>
        </is>
      </c>
      <c r="B25" s="6" t="inlineStr">
        <is>
          <t>Las 8 reglas de juego que valen para todo el modelo (heredado del v2.2).</t>
        </is>
      </c>
    </row>
    <row r="26">
      <c r="A26" s="5" t="inlineStr">
        <is>
          <t>5-Orden de carga</t>
        </is>
      </c>
      <c r="B26" s="6" t="inlineStr">
        <is>
          <t>En qué orden se construyen y cargan los maestros (niveles 0 a 3) según las dependencias del modelo.</t>
        </is>
      </c>
    </row>
    <row r="27" ht="25" customHeight="1">
      <c r="A27" s="5" t="inlineStr">
        <is>
          <t>6-Definiciones previas</t>
        </is>
      </c>
      <c r="B27" s="6" t="inlineStr">
        <is>
          <t>Las 10 decisiones del negocio que habilitan la carga, remapeadas a los maestros del modelo, más las decisiones abiertas y las que el propio modelo ya tomó.</t>
        </is>
      </c>
    </row>
    <row r="28" ht="25" customHeight="1">
      <c r="A28" s="5" t="inlineStr">
        <is>
          <t>7-Reglas por maestro</t>
        </is>
      </c>
      <c r="B28" s="6" t="inlineStr">
        <is>
          <t>Cómo se comporta cada maestro: validaciones, automatizaciones, alertas y pasos del ABM (heredado del v2.2 con códigos y atributos remapeados; M-17 LineUp completo).</t>
        </is>
      </c>
    </row>
    <row r="29">
      <c r="A29" s="5" t="inlineStr">
        <is>
          <t>8-Mapeo de fuentes</t>
        </is>
      </c>
      <c r="B29" s="6" t="inlineStr">
        <is>
          <t>Para la carga inicial: de qué planilla o sistema sale cada campo y cómo se transforma (remapeado a M-nn y a los nuevos nombres de atributo).</t>
        </is>
      </c>
    </row>
    <row r="30">
      <c r="A30" s="5" t="inlineStr">
        <is>
          <t>9-Tablero</t>
        </is>
      </c>
      <c r="B30" s="6" t="inlineStr">
        <is>
          <t>Avance automático: atributos y reglas por maestro y cuántos quedaron validados. No se edita.</t>
        </is>
      </c>
    </row>
    <row r="31" ht="25" customHeight="1">
      <c r="A31" s="5" t="inlineStr">
        <is>
          <t>0-Cruce v2.2 → Modelo</t>
        </is>
      </c>
      <c r="B31" s="6" t="inlineStr">
        <is>
          <t>Qué maestro del Excel v2.2 alimenta a cada maestro del modelo, qué se fusionó y qué dejó de ser maestro (modalidades, organismos, documentos exigidos, planes de mantenimiento).</t>
        </is>
      </c>
    </row>
    <row r="32">
      <c r="A32" s="5" t="inlineStr">
        <is>
          <t>TX y EV</t>
        </is>
      </c>
      <c r="B32" s="6" t="inlineStr">
        <is>
          <t>Catálogo de transacciones TX-01..TX-42 y eventos EV-01..EV-17 del circuito, con los maestros del modelo que consume cada transacción.</t>
        </is>
      </c>
    </row>
    <row r="34" ht="15.5" customHeight="1">
      <c r="A34" s="3" t="inlineStr">
        <is>
          <t>4. Cómo modificar el archivo sin romperlo</t>
        </is>
      </c>
      <c r="B34" s="4" t="n"/>
    </row>
    <row r="35">
      <c r="A35" s="5" t="inlineStr">
        <is>
          <t>Cambiar un atributo</t>
        </is>
      </c>
      <c r="B35" s="6" t="inlineStr">
        <is>
          <t>Editá la fila en la hoja 2 (tipo, obligatorio, valores, regla) y marcá "Con cambios" en la columna amarilla.</t>
        </is>
      </c>
    </row>
    <row r="36">
      <c r="A36" s="5" t="inlineStr">
        <is>
          <t>Agregar un atributo</t>
        </is>
      </c>
      <c r="B36" s="6" t="inlineStr">
        <is>
          <t>Insertá una fila dentro del bloque de su maestro en la hoja 2 y copiá el código M-nn y el nombre del maestro. El tablero lo cuenta solo.</t>
        </is>
      </c>
    </row>
    <row r="37">
      <c r="A37" s="5" t="inlineStr">
        <is>
          <t>Agregar un maestro nuevo</t>
        </is>
      </c>
      <c r="B37" s="6" t="inlineStr">
        <is>
          <t>Hoja 1: nueva fila con el próximo código (M-35). Después sus atributos en la hoja 2, su nivel en la hoja 5 y sus reglas en la hoja 7.</t>
        </is>
      </c>
    </row>
    <row r="38">
      <c r="A38" s="5" t="inlineStr">
        <is>
          <t>Qué NO hacer</t>
        </is>
      </c>
      <c r="B38" s="6" t="inlineStr">
        <is>
          <t>No borrar filas (marcá "Eliminar" en la columna amarilla), no renombrar hojas (el tablero las referencia), no cambiar los códigos M-nn.</t>
        </is>
      </c>
    </row>
    <row r="40" ht="15.5" customHeight="1">
      <c r="A40" s="3" t="inlineStr">
        <is>
          <t>5. Números y versiones</t>
        </is>
      </c>
      <c r="B40" s="4" t="n"/>
    </row>
    <row r="41" ht="25" customHeight="1">
      <c r="A41" s="5" t="inlineStr">
        <is>
          <t>Totales v3.1</t>
        </is>
      </c>
      <c r="B41" s="6" t="inlineStr">
        <is>
          <t>35 maestros (33 del modelo + M-10a detalle + M-31 Cupos) · 10 dominios · 374 atributos (35 propuestos ★ por el simulador · 53 incorporados en la revisión del 15/09/2026 · 15 de M-31 que faltaban) + 7 de auditoría comunes · 4 niveles de carga · 52 transacciones · 21 eventos de negocio (+ 23 eventos de trazabilidad del bus).</t>
        </is>
      </c>
    </row>
    <row r="42" ht="150" customHeight="1">
      <c r="A42" s="5" t="inlineStr">
        <is>
          <t>v3.1 — 15/09/2026</t>
        </is>
      </c>
      <c r="B42" s="6" t="inlineStr">
        <is>
          <t>Revisión grupal del FD (sesión 15/09/2026), workflow de recepción, transporte y depósito. Cambios: (1) la mercadería arriba por buque (LineUp), camión (cupos) o ferrocarril: nuevo M-32 Arribos ferroviarios; (2) LineUp, cupos y arribos se administran en forma centralizada por tramos (un sector carga, otro completa): M-17 Comercial → Planificación · M-31 Comercial → Tráfico · M-32 Comercial → Logística; (3) Comercial declara el estado aduanero de la mercadería (nacionalizada / no nacionalizada): filtro fiscal en depósitos y balanzas (M-26.habilitada_fiscal); (4) Planificación centralizada por recurso: manos (M-13 categoría × cantidad, composicion_roles), dotación propia (M-05 puesto × cantidad), choferes (M-27 cantidad); (5) turnos de 6 h parametrizados: nuevo M-33 Régimen de turnos (M-19 lo referencia); la cantidad de turnos define la duración del operativo; (6) planificado vs. realizado: TX-44 · EV-PLANREAL; (7) atributo "Método seguro": nuevo M-34 Métodos seguros (tipo de MS, documento, vencimiento, acción al vencer) referenciado desde M-05 · M-07 · M-10 · M-10a · M-11 · M-12 · M-13 · M-14 · M-25 · M-26 · M-30. Hojas actualizadas: 1, 2, 5, 6 (definiciones Nº 13–18 y decisiones D-15–D-18), 7, 8, 9, 0-Cruce, TX y EV.</t>
        </is>
      </c>
    </row>
    <row r="43">
      <c r="A43" s="5" t="inlineStr">
        <is>
          <t>v3.0 — 09/09/2026</t>
        </is>
      </c>
      <c r="B43" s="6" t="inlineStr">
        <is>
          <t>Reestructuración completa sobre el documento "Modelo de sistema basado en Master Data y Operativos" (Cristian D'Annunzio, 09/09/2026), tomado como modelo válido. Fusiones: Clientes + Proveedores + Transportistas (M-06); Productos + Familias (M-07); Plan de cuentas + Objeto operativo (M-03); Unidades de transporte con propiedad propia/tercero (M-11); Maquinaria con plan de mantenimiento como atributo (M-12); Servicios + Modalidades → Tipos de servicio como registros (M-14). Dejan de ser maestros: MD-12 Modalidad, MD-28 Plan de mantenimiento, MD-36 Organismo externo y MD-37 Documento exigido (pasan a reglas del circuito).</t>
        </is>
      </c>
    </row>
    <row r="44">
      <c r="A44" s="5" t="inlineStr">
        <is>
          <t>v2.2 — 07/09/2026</t>
        </is>
      </c>
      <c r="B44" s="6" t="inlineStr">
        <is>
          <t>Archivo anterior: 38 maestros MD-00..MD-37, 373 atributos. Se conserva como referencia secundaria.</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theme="0" tint="-0.3499862666707358"/>
    <outlinePr summaryBelow="1" summaryRight="1"/>
    <pageSetUpPr/>
  </sheetPr>
  <dimension ref="A1:P36"/>
  <sheetViews>
    <sheetView zoomScaleNormal="100" workbookViewId="0">
      <pane xSplit="2" ySplit="1" topLeftCell="C2" activePane="bottomRight" state="frozen"/>
      <selection pane="topRight" activeCell="C1" sqref="C1"/>
      <selection pane="bottomLeft" activeCell="A5" sqref="A5"/>
      <selection pane="bottomRight" activeCell="A1" sqref="A1:XFD1"/>
    </sheetView>
  </sheetViews>
  <sheetFormatPr baseColWidth="10" defaultColWidth="8.6328125" defaultRowHeight="14.5"/>
  <cols>
    <col width="9" customWidth="1" min="1" max="1"/>
    <col width="26" customWidth="1" min="2" max="2"/>
    <col width="52" customWidth="1" min="3" max="3"/>
    <col width="24" customWidth="1" min="4" max="4"/>
    <col width="7" customWidth="1" min="5" max="5"/>
    <col width="22" customWidth="1" min="6" max="6"/>
    <col width="16" customWidth="1" min="7" max="7"/>
    <col width="18" customWidth="1" min="8" max="8"/>
    <col width="60" customWidth="1" min="9" max="9"/>
    <col width="22" customWidth="1" min="10" max="11"/>
    <col width="34" customWidth="1" min="12" max="12"/>
    <col width="30" customWidth="1" min="13" max="13"/>
    <col width="10" customWidth="1" min="14" max="14"/>
    <col width="14" customWidth="1" min="15" max="15"/>
    <col width="40" customWidth="1" min="16" max="16"/>
  </cols>
  <sheetData>
    <row r="1" ht="30" customHeight="1">
      <c r="A1" s="7" t="inlineStr">
        <is>
          <t>Código</t>
        </is>
      </c>
      <c r="B1" s="7" t="inlineStr">
        <is>
          <t>Maestro</t>
        </is>
      </c>
      <c r="C1" s="7" t="inlineStr">
        <is>
          <t>Descripción</t>
        </is>
      </c>
      <c r="D1" s="7" t="inlineStr">
        <is>
          <t>Dominio</t>
        </is>
      </c>
      <c r="E1" s="7" t="inlineStr">
        <is>
          <t>Nivel</t>
        </is>
      </c>
      <c r="F1" s="7" t="inlineStr">
        <is>
          <t>Clave natural</t>
        </is>
      </c>
      <c r="G1" s="7" t="inlineStr">
        <is>
          <t>Depende de</t>
        </is>
      </c>
      <c r="H1" s="7" t="inlineStr">
        <is>
          <t>Existe hoy</t>
        </is>
      </c>
      <c r="I1" s="7" t="inlineStr">
        <is>
          <t>Fuente de carga inicial</t>
        </is>
      </c>
      <c r="J1" s="7" t="inlineStr">
        <is>
          <t>Administra</t>
        </is>
      </c>
      <c r="K1" s="7" t="inlineStr">
        <is>
          <t>Autoriza</t>
        </is>
      </c>
      <c r="L1" s="7" t="inlineStr">
        <is>
          <t>Equivalente v2.2</t>
        </is>
      </c>
      <c r="M1" s="7" t="inlineStr">
        <is>
          <t>Transacciones que lo consumen</t>
        </is>
      </c>
      <c r="N1" s="7" t="inlineStr">
        <is>
          <t>Nº atributos</t>
        </is>
      </c>
      <c r="O1" s="7" t="inlineStr">
        <is>
          <t>Ficha revisada</t>
        </is>
      </c>
      <c r="P1" s="7" t="inlineStr">
        <is>
          <t>Comentarios del equipo</t>
        </is>
      </c>
    </row>
    <row r="2" ht="25" customHeight="1">
      <c r="A2" s="8" t="inlineStr">
        <is>
          <t>M-01</t>
        </is>
      </c>
      <c r="B2" s="8" t="inlineStr">
        <is>
          <t>Unidad de negocio</t>
        </is>
      </c>
      <c r="C2" s="9" t="inlineStr">
        <is>
          <t>Empresas del grupo que facturan y registran.</t>
        </is>
      </c>
      <c r="D2" s="9" t="inlineStr">
        <is>
          <t>2.1 Organización y contabilidad</t>
        </is>
      </c>
      <c r="E2" s="9" t="n">
        <v>0</v>
      </c>
      <c r="F2" s="9" t="inlineStr">
        <is>
          <t>cuit</t>
        </is>
      </c>
      <c r="G2" s="9" t="inlineStr">
        <is>
          <t>— (raíz)</t>
        </is>
      </c>
      <c r="H2" s="9" t="inlineStr">
        <is>
          <t>Parcial</t>
        </is>
      </c>
      <c r="I2" s="9" t="inlineStr">
        <is>
          <t>Definición con Administración: estructura societaria, CUIT, moneda funcional y plan de cuentas de cada sociedad.</t>
        </is>
      </c>
      <c r="J2" s="9" t="inlineStr">
        <is>
          <t>Administración y Finanzas</t>
        </is>
      </c>
      <c r="K2" s="9" t="inlineStr">
        <is>
          <t>Administración y Finanzas</t>
        </is>
      </c>
      <c r="L2" s="9" t="inlineStr">
        <is>
          <t>MD-01 Sociedad</t>
        </is>
      </c>
      <c r="M2" s="9" t="inlineStr">
        <is>
          <t>—</t>
        </is>
      </c>
      <c r="N2" s="9" t="n">
        <v>7</v>
      </c>
      <c r="O2" s="10" t="inlineStr">
        <is>
          <t>Pendiente</t>
        </is>
      </c>
      <c r="P2" s="10" t="n"/>
    </row>
    <row r="3" ht="25" customHeight="1">
      <c r="A3" s="11" t="inlineStr">
        <is>
          <t>M-02</t>
        </is>
      </c>
      <c r="B3" s="11" t="inlineStr">
        <is>
          <t>Centro de costo</t>
        </is>
      </c>
      <c r="C3" s="12" t="inlineStr">
        <is>
          <t>Centros de costo de la unidad de negocio.</t>
        </is>
      </c>
      <c r="D3" s="12" t="inlineStr">
        <is>
          <t>2.1 Organización y contabilidad</t>
        </is>
      </c>
      <c r="E3" s="12" t="n">
        <v>1</v>
      </c>
      <c r="F3" s="12" t="inlineStr">
        <is>
          <t>codigo</t>
        </is>
      </c>
      <c r="G3" s="12" t="inlineStr">
        <is>
          <t>M-01</t>
        </is>
      </c>
      <c r="H3" s="12" t="inlineStr">
        <is>
          <t>No (nuevo en el modelo)</t>
        </is>
      </c>
      <c r="I3" s="12" t="inlineStr">
        <is>
          <t>Documento "Modelo de sistema basado en Master Data y Operativos" (09/09/2026)</t>
        </is>
      </c>
      <c r="J3" s="12" t="inlineStr">
        <is>
          <t>Administración y Finanzas</t>
        </is>
      </c>
      <c r="K3" s="12" t="inlineStr">
        <is>
          <t>Administración y Finanzas</t>
        </is>
      </c>
      <c r="L3" s="12" t="inlineStr">
        <is>
          <t>— (nuevo en el modelo)</t>
        </is>
      </c>
      <c r="M3" s="12" t="inlineStr">
        <is>
          <t>—</t>
        </is>
      </c>
      <c r="N3" s="12" t="n">
        <v>5</v>
      </c>
      <c r="O3" s="10" t="inlineStr">
        <is>
          <t>Pendiente</t>
        </is>
      </c>
      <c r="P3" s="10" t="n"/>
    </row>
    <row r="4" ht="50" customHeight="1">
      <c r="A4" s="13" t="inlineStr">
        <is>
          <t>M-03</t>
        </is>
      </c>
      <c r="B4" s="13" t="inlineStr">
        <is>
          <t>Cuenta objeto</t>
        </is>
      </c>
      <c r="C4" s="14" t="inlineStr">
        <is>
          <t>Cuentas y objetos de imputación: cuentas del plan y el objeto de costo que se abre por cada operativo.</t>
        </is>
      </c>
      <c r="D4" s="14" t="inlineStr">
        <is>
          <t>2.1 Organización y contabilidad</t>
        </is>
      </c>
      <c r="E4" s="14" t="n">
        <v>1</v>
      </c>
      <c r="F4" s="14" t="inlineStr">
        <is>
          <t>codigo</t>
        </is>
      </c>
      <c r="G4" s="14" t="inlineStr">
        <is>
          <t>M-02</t>
        </is>
      </c>
      <c r="H4" s="14" t="inlineStr">
        <is>
          <t>Parcial / Sí</t>
        </is>
      </c>
      <c r="I4" s="14" t="inlineStr">
        <is>
          <t>Definición previa Nº 7 (parte 1): plan de cuentas por sociedad con marca de imputabilidad y exigencia de centro de costo. | Definición previa Nº 7 (parte 2): estructura de centros más el objeto de costo de tipo 'operativo' (construcción nueva, se abre automático con TX-03).</t>
        </is>
      </c>
      <c r="J4" s="14" t="inlineStr">
        <is>
          <t>Administración y Finanzas</t>
        </is>
      </c>
      <c r="K4" s="14" t="inlineStr">
        <is>
          <t>Administración y Finanzas</t>
        </is>
      </c>
      <c r="L4" s="14" t="inlineStr">
        <is>
          <t>MD-30 Plan de cuentas + MD-31 Centro y objeto de costo</t>
        </is>
      </c>
      <c r="M4" s="14" t="inlineStr">
        <is>
          <t>TX-08 · TX-42</t>
        </is>
      </c>
      <c r="N4" s="14" t="n">
        <v>5</v>
      </c>
      <c r="O4" s="10" t="inlineStr">
        <is>
          <t>Pendiente</t>
        </is>
      </c>
      <c r="P4" s="10" t="n"/>
    </row>
    <row r="5" ht="25" customHeight="1">
      <c r="A5" s="15" t="inlineStr">
        <is>
          <t>M-04</t>
        </is>
      </c>
      <c r="B5" s="15" t="inlineStr">
        <is>
          <t>Tipos de comprobantes</t>
        </is>
      </c>
      <c r="C5" s="16" t="inlineStr">
        <is>
          <t>Comprobantes que emite el sistema y su imputación por defecto.</t>
        </is>
      </c>
      <c r="D5" s="16" t="inlineStr">
        <is>
          <t>2.1 Organización y contabilidad</t>
        </is>
      </c>
      <c r="E5" s="16" t="n">
        <v>1</v>
      </c>
      <c r="F5" s="16" t="inlineStr">
        <is>
          <t>codigo</t>
        </is>
      </c>
      <c r="G5" s="16" t="inlineStr">
        <is>
          <t>M-01 · M-02 · M-03</t>
        </is>
      </c>
      <c r="H5" s="16" t="inlineStr">
        <is>
          <t>Sí</t>
        </is>
      </c>
      <c r="I5" s="16" t="inlineStr">
        <is>
          <t>Migración desde la configuración de comprobantes actual más las plantillas de remito de la carpeta compartida.</t>
        </is>
      </c>
      <c r="J5" s="16" t="inlineStr">
        <is>
          <t>Administración y Finanzas</t>
        </is>
      </c>
      <c r="K5" s="16" t="inlineStr">
        <is>
          <t>Administración y Finanzas</t>
        </is>
      </c>
      <c r="L5" s="16" t="inlineStr">
        <is>
          <t>MD-33 Comprobante y numeración</t>
        </is>
      </c>
      <c r="M5" s="16" t="inlineStr">
        <is>
          <t>—</t>
        </is>
      </c>
      <c r="N5" s="16" t="n">
        <v>6</v>
      </c>
      <c r="O5" s="10" t="inlineStr">
        <is>
          <t>Pendiente</t>
        </is>
      </c>
      <c r="P5" s="10" t="n"/>
    </row>
    <row r="6" ht="25" customHeight="1">
      <c r="A6" s="8" t="inlineStr">
        <is>
          <t>M-05</t>
        </is>
      </c>
      <c r="B6" s="8" t="inlineStr">
        <is>
          <t>Áreas</t>
        </is>
      </c>
      <c r="C6" s="9" t="inlineStr">
        <is>
          <t>Áreas de la organización y los puestos de trabajo que dependen de ellas. La dotación propia se planifica por puesto (rol) y cantidad, nunca por persona: el puesto es el recurso; el legajo (28) se asigna en la ejecución.</t>
        </is>
      </c>
      <c r="D6" s="9" t="inlineStr">
        <is>
          <t>2.1 Organización y contabilidad</t>
        </is>
      </c>
      <c r="E6" s="9" t="n">
        <v>0</v>
      </c>
      <c r="F6" s="9" t="inlineStr">
        <is>
          <t>codigo</t>
        </is>
      </c>
      <c r="G6" s="9" t="inlineStr">
        <is>
          <t>M-01</t>
        </is>
      </c>
      <c r="H6" s="9" t="inlineStr">
        <is>
          <t>No</t>
        </is>
      </c>
      <c r="I6" s="9" t="inlineStr">
        <is>
          <t>Relevamiento de RRHH y Operaciones. La matriz de reemplazo es construcción nueva.</t>
        </is>
      </c>
      <c r="J6" s="9" t="inlineStr">
        <is>
          <t>RRHH</t>
        </is>
      </c>
      <c r="K6" s="9" t="inlineStr">
        <is>
          <t>RRHH</t>
        </is>
      </c>
      <c r="L6" s="9" t="inlineStr">
        <is>
          <t>MD-24 Puesto</t>
        </is>
      </c>
      <c r="M6" s="9" t="inlineStr">
        <is>
          <t>TX-18</t>
        </is>
      </c>
      <c r="N6" s="9" t="n">
        <v>9</v>
      </c>
      <c r="O6" s="10" t="inlineStr">
        <is>
          <t>Pendiente</t>
        </is>
      </c>
      <c r="P6" s="10" t="n"/>
    </row>
    <row r="7" ht="75" customHeight="1">
      <c r="A7" s="13" t="inlineStr">
        <is>
          <t>M-06</t>
        </is>
      </c>
      <c r="B7" s="13" t="inlineStr">
        <is>
          <t>Clientes / Proveedores</t>
        </is>
      </c>
      <c r="C7" s="14" t="inlineStr">
        <is>
          <t>Terceros con los que operamos: un CUIT, uno o varios roles (cliente, proveedor).</t>
        </is>
      </c>
      <c r="D7" s="14" t="inlineStr">
        <is>
          <t>2.2 Clientes, proveedores y terceros</t>
        </is>
      </c>
      <c r="E7" s="14" t="n">
        <v>1</v>
      </c>
      <c r="F7" s="14" t="inlineStr">
        <is>
          <t>cuit</t>
        </is>
      </c>
      <c r="G7" s="14" t="inlineStr">
        <is>
          <t>M-01</t>
        </is>
      </c>
      <c r="H7" s="14" t="inlineStr">
        <is>
          <t>Sí</t>
        </is>
      </c>
      <c r="I7" s="14" t="inlineStr">
        <is>
          <t>Migración desde los sistemas actuales con deduplicación por CUIT y resolución manual de conflictos de razón social. | Migración desde el registro de proveedores actual, que ya tiene procedimiento de alta y evaluación. | Migración desde el padrón de transportistas del sistema de logística más el registro de sanciones que hoy vive en correos y actas. La flota propia se marca como interna.</t>
        </is>
      </c>
      <c r="J7" s="14" t="inlineStr">
        <is>
          <t>Comercial · Compras</t>
        </is>
      </c>
      <c r="K7" s="14" t="inlineStr">
        <is>
          <t>Comercial · Compras</t>
        </is>
      </c>
      <c r="L7" s="14" t="inlineStr">
        <is>
          <t>MD-04 Cliente + MD-05 Proveedor + MD-21 Transportista</t>
        </is>
      </c>
      <c r="M7" s="14" t="inlineStr">
        <is>
          <t>TX-01 · TX-02 · TX-12 · TX-21 · TX-23.3 · TX-29 · TX-37 · TX-41</t>
        </is>
      </c>
      <c r="N7" s="14" t="n">
        <v>10</v>
      </c>
      <c r="O7" s="10" t="inlineStr">
        <is>
          <t>Pendiente</t>
        </is>
      </c>
      <c r="P7" s="10" t="n"/>
    </row>
    <row r="8" ht="62.5" customHeight="1">
      <c r="A8" s="13" t="inlineStr">
        <is>
          <t>M-07</t>
        </is>
      </c>
      <c r="B8" s="13" t="inlineStr">
        <is>
          <t>Productos</t>
        </is>
      </c>
      <c r="C8" s="14" t="inlineStr">
        <is>
          <t>Cada producto que se descarga, transporta o almacena.</t>
        </is>
      </c>
      <c r="D8" s="14" t="inlineStr">
        <is>
          <t>2.3 Productos y condiciones de mercadería</t>
        </is>
      </c>
      <c r="E8" s="14" t="n">
        <v>0</v>
      </c>
      <c r="F8" s="14" t="inlineStr">
        <is>
          <t>codigo</t>
        </is>
      </c>
      <c r="G8" s="14" t="inlineStr">
        <is>
          <t>— (raíz)</t>
        </is>
      </c>
      <c r="H8" s="14" t="inlineStr">
        <is>
          <t>Parcial / Sí</t>
        </is>
      </c>
      <c r="I8" s="14" t="inlineStr">
        <is>
          <t>Migración desde la clasificación actual de artículos, con la merma teórica que hoy figura en los contratos. | Migración desde el maestro de artículos actual, con revisión de Calidad de presentaciones, densidad y muestreo. v2: se agrega el régimen regulatorio (RENPRE / RENAR) que hoy se verifica a mano.</t>
        </is>
      </c>
      <c r="J8" s="14" t="inlineStr">
        <is>
          <t>Operaciones · Calidad</t>
        </is>
      </c>
      <c r="K8" s="14" t="inlineStr">
        <is>
          <t>Operaciones · Calidad</t>
        </is>
      </c>
      <c r="L8" s="14" t="inlineStr">
        <is>
          <t>MD-13 Familia de producto + MD-14 Producto</t>
        </is>
      </c>
      <c r="M8" s="14" t="inlineStr">
        <is>
          <t>TX-01 · TX-13 · TX-23.2 · TX-23.3 · TX-37 · TX-42</t>
        </is>
      </c>
      <c r="N8" s="14" t="n">
        <v>17</v>
      </c>
      <c r="O8" s="10" t="inlineStr">
        <is>
          <t>Pendiente</t>
        </is>
      </c>
      <c r="P8" s="10" t="n"/>
    </row>
    <row r="9" ht="25" customHeight="1">
      <c r="A9" s="15" t="inlineStr">
        <is>
          <t>M-08</t>
        </is>
      </c>
      <c r="B9" s="15" t="inlineStr">
        <is>
          <t>Buques</t>
        </is>
      </c>
      <c r="C9" s="16" t="inlineStr">
        <is>
          <t>Cada buque: solo sus datos propios (la agencia es del arribo, en el LineUp).</t>
        </is>
      </c>
      <c r="D9" s="16" t="inlineStr">
        <is>
          <t>2.5 Buques y transporte</t>
        </is>
      </c>
      <c r="E9" s="16" t="n">
        <v>0</v>
      </c>
      <c r="F9" s="16" t="inlineStr">
        <is>
          <t>numero_imo</t>
        </is>
      </c>
      <c r="G9" s="16" t="inlineStr">
        <is>
          <t>— (raíz)</t>
        </is>
      </c>
      <c r="H9" s="16" t="inlineStr">
        <is>
          <t>No</t>
        </is>
      </c>
      <c r="I9" s="16" t="inlineStr">
        <is>
          <t>Construcción desde la planilla del LineUp de los últimos 24 meses, con búsqueda y validación del IMO de cada buque.</t>
        </is>
      </c>
      <c r="J9" s="16" t="inlineStr">
        <is>
          <t>Operaciones Portuarias</t>
        </is>
      </c>
      <c r="K9" s="16" t="inlineStr">
        <is>
          <t>Operaciones Portuarias</t>
        </is>
      </c>
      <c r="L9" s="16" t="inlineStr">
        <is>
          <t>MD-16 Buque</t>
        </is>
      </c>
      <c r="M9" s="16" t="inlineStr">
        <is>
          <t>TX-01 · TX-09 · TX-16 · TX-24 · TX-31</t>
        </is>
      </c>
      <c r="N9" s="16" t="n">
        <v>7</v>
      </c>
      <c r="O9" s="10" t="inlineStr">
        <is>
          <t>Pendiente</t>
        </is>
      </c>
      <c r="P9" s="10" t="n"/>
    </row>
    <row r="10" ht="62.5" customHeight="1">
      <c r="A10" s="8" t="inlineStr">
        <is>
          <t>M-09</t>
        </is>
      </c>
      <c r="B10" s="8" t="inlineStr">
        <is>
          <t>Plantas</t>
        </is>
      </c>
      <c r="C10" s="9" t="inlineStr">
        <is>
          <t>Plantas propias, satélites, alquiladas, puertos y terminales.</t>
        </is>
      </c>
      <c r="D10" s="9" t="inlineStr">
        <is>
          <t>2.4 Infraestructura</t>
        </is>
      </c>
      <c r="E10" s="9" t="n">
        <v>1</v>
      </c>
      <c r="F10" s="9" t="inlineStr">
        <is>
          <t>codigo</t>
        </is>
      </c>
      <c r="G10" s="9" t="inlineStr">
        <is>
          <t>M-01 · M-02</t>
        </is>
      </c>
      <c r="H10" s="9" t="inlineStr">
        <is>
          <t>Parcial</t>
        </is>
      </c>
      <c r="I10" s="9" t="inlineStr">
        <is>
          <t>Relevamiento con Operaciones: plantas propias 1 y 2, satélites (Usina, AFA/Comirsa, GAP, MTR) y puerto, con distancia y costo de almacenaje medidos. v2.2: se agrega el tipo "puerto / terminal externa" para que MD-00 pueda referenciar Timbúes, PGSM, Arroyo Seco, Necochea, Ramallo, Villa Constitución y AES (Decisión D-1, hoja 6).</t>
        </is>
      </c>
      <c r="J10" s="9" t="inlineStr">
        <is>
          <t>Operaciones</t>
        </is>
      </c>
      <c r="K10" s="9" t="inlineStr">
        <is>
          <t>Operaciones</t>
        </is>
      </c>
      <c r="L10" s="9" t="inlineStr">
        <is>
          <t>MD-02 Planta y sitio</t>
        </is>
      </c>
      <c r="M10" s="9" t="inlineStr">
        <is>
          <t>TX-08 · TX-22 · TX-23.5 · TX-23.6 · TX-29 · TX-30</t>
        </is>
      </c>
      <c r="N10" s="9" t="n">
        <v>16</v>
      </c>
      <c r="O10" s="10" t="inlineStr">
        <is>
          <t>Pendiente</t>
        </is>
      </c>
      <c r="P10" s="10" t="n"/>
    </row>
    <row r="11" ht="50" customHeight="1">
      <c r="A11" s="15" t="inlineStr">
        <is>
          <t>M-10</t>
        </is>
      </c>
      <c r="B11" s="15" t="inlineStr">
        <is>
          <t>Depósitos</t>
        </is>
      </c>
      <c r="C11" s="16" t="inlineStr">
        <is>
          <t>Galpones, depósitos y parques de tanques, con sus celdas y boxes (detalle en 10a).</t>
        </is>
      </c>
      <c r="D11" s="16" t="inlineStr">
        <is>
          <t>2.4 Infraestructura</t>
        </is>
      </c>
      <c r="E11" s="16" t="n">
        <v>2</v>
      </c>
      <c r="F11" s="16" t="inlineStr">
        <is>
          <t>codigo</t>
        </is>
      </c>
      <c r="G11" s="16" t="inlineStr">
        <is>
          <t>M-09</t>
        </is>
      </c>
      <c r="H11" s="16" t="inlineStr">
        <is>
          <t>Parcial</t>
        </is>
      </c>
      <c r="I11" s="16" t="inlineStr">
        <is>
          <t>Definición previa Nº 3 (parte 1): inventario de depósitos propios, satélites, de terceros y Timbúes, con habilitaciones aduaneras (incl. provisorio de Comirsa) y regulatorias (RENPRE / RENAR) y sus vencimientos.</t>
        </is>
      </c>
      <c r="J11" s="16" t="inlineStr">
        <is>
          <t>Depósitos</t>
        </is>
      </c>
      <c r="K11" s="16" t="inlineStr">
        <is>
          <t>Depósitos</t>
        </is>
      </c>
      <c r="L11" s="16" t="inlineStr">
        <is>
          <t>MD-18 Depósito</t>
        </is>
      </c>
      <c r="M11" s="16" t="inlineStr">
        <is>
          <t>TX-06 · TX-11 · TX-12 · TX-13 · TX-20 · TX-23 · TX-23.1 · TX-23.2 · TX-23.4 · TX-23.5 · TX-23.6 · TX-34</t>
        </is>
      </c>
      <c r="N11" s="16" t="n">
        <v>14</v>
      </c>
      <c r="O11" s="10" t="inlineStr">
        <is>
          <t>Pendiente</t>
        </is>
      </c>
      <c r="P11" s="10" t="n"/>
    </row>
    <row r="12" ht="50" customHeight="1">
      <c r="A12" s="8" t="inlineStr">
        <is>
          <t>M-10a</t>
        </is>
      </c>
      <c r="B12" s="8" t="inlineStr">
        <is>
          <t>Celdas · boxes · tanques (detalle de Depósitos)</t>
        </is>
      </c>
      <c r="C12" s="9" t="inlineStr">
        <is>
          <t>Cada celda, box o tanque del depósito con su capacidad. Es el detalle "celdas y capacidad / boxes y capacidad" del maestro 10.</t>
        </is>
      </c>
      <c r="D12" s="9" t="inlineStr">
        <is>
          <t>2.4 Infraestructura</t>
        </is>
      </c>
      <c r="E12" s="9" t="n">
        <v>3</v>
      </c>
      <c r="F12" s="9" t="inlineStr">
        <is>
          <t>codigo</t>
        </is>
      </c>
      <c r="G12" s="9" t="inlineStr">
        <is>
          <t>M-10</t>
        </is>
      </c>
      <c r="H12" s="9" t="inlineStr">
        <is>
          <t>No</t>
        </is>
      </c>
      <c r="I12" s="9" t="inlineStr">
        <is>
          <t>Definición previa Nº 3 (parte 2): inventario físico de celdas, boxes y tanques con capacidad y método de recepción (incl. fosa y noria). Es la carga nueva más importante del modelo: sin ubicación no hay stock por lote (TX-37).</t>
        </is>
      </c>
      <c r="J12" s="9" t="inlineStr">
        <is>
          <t>Depósitos</t>
        </is>
      </c>
      <c r="K12" s="9" t="inlineStr">
        <is>
          <t>Depósitos</t>
        </is>
      </c>
      <c r="L12" s="9" t="inlineStr">
        <is>
          <t>MD-19 Ubicación (celda · box · tanque)</t>
        </is>
      </c>
      <c r="M12" s="9" t="inlineStr">
        <is>
          <t>TX-11 · TX-23 · TX-23.4 · TX-23.7 · TX-23.8 · TX-23.9 · TX-28 · TX-34 · TX-35 · TX-37 · TX-38</t>
        </is>
      </c>
      <c r="N12" s="9" t="n">
        <v>12</v>
      </c>
      <c r="O12" s="10" t="inlineStr">
        <is>
          <t>Pendiente</t>
        </is>
      </c>
      <c r="P12" s="10" t="n"/>
    </row>
    <row r="13" ht="25" customHeight="1">
      <c r="A13" s="15" t="inlineStr">
        <is>
          <t>M-11</t>
        </is>
      </c>
      <c r="B13" s="15" t="inlineStr">
        <is>
          <t>Transporte</t>
        </is>
      </c>
      <c r="C13" s="16" t="inlineStr">
        <is>
          <t>Unidades de transporte (camión, batea, cisterna, barcaza) propias o de terceros.</t>
        </is>
      </c>
      <c r="D13" s="16" t="inlineStr">
        <is>
          <t>2.5 Buques y transporte</t>
        </is>
      </c>
      <c r="E13" s="16" t="n">
        <v>2</v>
      </c>
      <c r="F13" s="16" t="inlineStr">
        <is>
          <t>codigo</t>
        </is>
      </c>
      <c r="G13" s="16" t="inlineStr">
        <is>
          <t>M-06</t>
        </is>
      </c>
      <c r="H13" s="16" t="inlineStr">
        <is>
          <t>Sí</t>
        </is>
      </c>
      <c r="I13" s="16" t="inlineStr">
        <is>
          <t>Migración desde credenciales y checklists de portería, con la tara certificada desde los certificados vigentes.</t>
        </is>
      </c>
      <c r="J13" s="16" t="inlineStr">
        <is>
          <t>Logística</t>
        </is>
      </c>
      <c r="K13" s="16" t="inlineStr">
        <is>
          <t>Logística</t>
        </is>
      </c>
      <c r="L13" s="16" t="inlineStr">
        <is>
          <t>MD-23 Unidad de transporte</t>
        </is>
      </c>
      <c r="M13" s="16" t="inlineStr">
        <is>
          <t>TX-21 · TX-29 · TX-30 · TX-32</t>
        </is>
      </c>
      <c r="N13" s="16" t="n">
        <v>14</v>
      </c>
      <c r="O13" s="10" t="inlineStr">
        <is>
          <t>Pendiente</t>
        </is>
      </c>
      <c r="P13" s="10" t="n"/>
    </row>
    <row r="14" ht="37.5" customHeight="1">
      <c r="A14" s="13" t="inlineStr">
        <is>
          <t>M-12</t>
        </is>
      </c>
      <c r="B14" s="13" t="inlineStr">
        <is>
          <t>Maquinaria</t>
        </is>
      </c>
      <c r="C14" s="14" t="inlineStr">
        <is>
          <t>Grúas, palas, tolvas, cintas, autoelevadores, bombas.</t>
        </is>
      </c>
      <c r="D14" s="14" t="inlineStr">
        <is>
          <t>2.6 Maquinaria, personal e insumos</t>
        </is>
      </c>
      <c r="E14" s="14" t="n">
        <v>2</v>
      </c>
      <c r="F14" s="14" t="inlineStr">
        <is>
          <t>codigo</t>
        </is>
      </c>
      <c r="G14" s="14" t="inlineStr">
        <is>
          <t>M-09 · M-02</t>
        </is>
      </c>
      <c r="H14" s="14" t="inlineStr">
        <is>
          <t>No</t>
        </is>
      </c>
      <c r="I14" s="14" t="inlineStr">
        <is>
          <t>Relevamiento de Mantenimiento: grúas móviles, palas, tolvas, cintas y autoelevadores con horómetro y plan asignado. | Relevamiento de Mantenimiento sobre los manuales de los equipos y la práctica actual.</t>
        </is>
      </c>
      <c r="J14" s="14" t="inlineStr">
        <is>
          <t>Rental · Mantenimiento</t>
        </is>
      </c>
      <c r="K14" s="14" t="inlineStr">
        <is>
          <t>Rental · Mantenimiento</t>
        </is>
      </c>
      <c r="L14" s="14" t="inlineStr">
        <is>
          <t>MD-27 Equipo y maquinaria + MD-28 Plan de mantenimiento</t>
        </is>
      </c>
      <c r="M14" s="14" t="inlineStr">
        <is>
          <t>TX-14 · TX-22 · TX-27 · TX-35 · TX-36</t>
        </is>
      </c>
      <c r="N14" s="14" t="n">
        <v>13</v>
      </c>
      <c r="O14" s="10" t="inlineStr">
        <is>
          <t>Pendiente</t>
        </is>
      </c>
      <c r="P14" s="10" t="n"/>
    </row>
    <row r="15" ht="25" customHeight="1">
      <c r="A15" s="15" t="inlineStr">
        <is>
          <t>M-13</t>
        </is>
      </c>
      <c r="B15" s="15" t="inlineStr">
        <is>
          <t>Personal contratado</t>
        </is>
      </c>
      <c r="C15" s="16" t="inlineStr">
        <is>
          <t>Manos de estiba y personal eventual contratado a proveedores. La mano es un recurso: categoría con composición por roles (ej. 8 estibadores · 1 capataz), tarifa por mano y turno y método seguro; se planifica por cantidad de manos, nunca por nombre.</t>
        </is>
      </c>
      <c r="D15" s="16" t="inlineStr">
        <is>
          <t>2.6 Maquinaria, personal e insumos</t>
        </is>
      </c>
      <c r="E15" s="16" t="n">
        <v>2</v>
      </c>
      <c r="F15" s="16" t="inlineStr">
        <is>
          <t>proveedor+categoria</t>
        </is>
      </c>
      <c r="G15" s="16" t="inlineStr">
        <is>
          <t>M-06 · M-18 · M-02</t>
        </is>
      </c>
      <c r="H15" s="16" t="inlineStr">
        <is>
          <t>No</t>
        </is>
      </c>
      <c r="I15" s="16" t="inlineStr">
        <is>
          <t>Construcción desde los convenios vigentes y las liquidaciones de estiba de los últimos 12 meses.</t>
        </is>
      </c>
      <c r="J15" s="16" t="inlineStr">
        <is>
          <t>RRHH · Compras</t>
        </is>
      </c>
      <c r="K15" s="16" t="inlineStr">
        <is>
          <t>RRHH · Compras</t>
        </is>
      </c>
      <c r="L15" s="16" t="inlineStr">
        <is>
          <t>MD-07 Sindicato y empresa de estiba</t>
        </is>
      </c>
      <c r="M15" s="16" t="inlineStr">
        <is>
          <t>TX-18 · TX-24</t>
        </is>
      </c>
      <c r="N15" s="16" t="n">
        <v>11</v>
      </c>
      <c r="O15" s="10" t="inlineStr">
        <is>
          <t>Pendiente</t>
        </is>
      </c>
      <c r="P15" s="10" t="n"/>
    </row>
    <row r="16" ht="50" customHeight="1">
      <c r="A16" s="13" t="inlineStr">
        <is>
          <t>M-14</t>
        </is>
      </c>
      <c r="B16" s="13" t="inlineStr">
        <is>
          <t>Tipos de servicios</t>
        </is>
      </c>
      <c r="C16" s="14" t="inlineStr">
        <is>
          <t>Servicios simples y combinados. Cada tipo indica qué componentes, recursos, controles y etapas requiere.</t>
        </is>
      </c>
      <c r="D16" s="14" t="inlineStr">
        <is>
          <t>2.7 Servicios, tarifas y contratos</t>
        </is>
      </c>
      <c r="E16" s="14" t="n">
        <v>0</v>
      </c>
      <c r="F16" s="14" t="inlineStr">
        <is>
          <t>codigo</t>
        </is>
      </c>
      <c r="G16" s="14" t="inlineStr">
        <is>
          <t>— (raíz)</t>
        </is>
      </c>
      <c r="H16" s="14" t="inlineStr">
        <is>
          <t>No</t>
        </is>
      </c>
      <c r="I16" s="14" t="inlineStr">
        <is>
          <t>Construcción desde los conceptos facturados históricamente más los servicios que hoy se prestan y no se facturan por separado. | Construcción desde el relevamiento: cuatro modalidades (DIRECTO · DEPOSITO · SATELITE · FISCAL).</t>
        </is>
      </c>
      <c r="J16" s="14" t="inlineStr">
        <is>
          <t>Comercial · Operaciones</t>
        </is>
      </c>
      <c r="K16" s="14" t="inlineStr">
        <is>
          <t>Comercial · Operaciones</t>
        </is>
      </c>
      <c r="L16" s="14" t="inlineStr">
        <is>
          <t>MD-09 Servicio + MD-12 Modalidad de operación</t>
        </is>
      </c>
      <c r="M16" s="14" t="inlineStr">
        <is>
          <t>TX-04 · TX-20 · TX-25</t>
        </is>
      </c>
      <c r="N16" s="14" t="n">
        <v>11</v>
      </c>
      <c r="O16" s="10" t="inlineStr">
        <is>
          <t>Pendiente</t>
        </is>
      </c>
      <c r="P16" s="10" t="n"/>
    </row>
    <row r="17" ht="25" customHeight="1">
      <c r="A17" s="15" t="inlineStr">
        <is>
          <t>M-15</t>
        </is>
      </c>
      <c r="B17" s="15" t="inlineStr">
        <is>
          <t>Tarifas</t>
        </is>
      </c>
      <c r="C17" s="16" t="inlineStr">
        <is>
          <t>Precio de cada tipo de servicio, general o particular por cliente y producto.</t>
        </is>
      </c>
      <c r="D17" s="16" t="inlineStr">
        <is>
          <t>2.7 Servicios, tarifas y contratos</t>
        </is>
      </c>
      <c r="E17" s="16" t="n">
        <v>2</v>
      </c>
      <c r="F17" s="16" t="inlineStr">
        <is>
          <t>codigo</t>
        </is>
      </c>
      <c r="G17" s="16" t="inlineStr">
        <is>
          <t>M-14 · M-07 · M-06 · M-18</t>
        </is>
      </c>
      <c r="H17" s="16" t="inlineStr">
        <is>
          <t>Parcial</t>
        </is>
      </c>
      <c r="I17" s="16" t="inlineStr">
        <is>
          <t>Migración desde las cartas oferta vigentes y la lista de precios actual, con la vigencia real de cada una.</t>
        </is>
      </c>
      <c r="J17" s="16" t="inlineStr">
        <is>
          <t>Comercial</t>
        </is>
      </c>
      <c r="K17" s="16" t="inlineStr">
        <is>
          <t>Comercial</t>
        </is>
      </c>
      <c r="L17" s="16" t="inlineStr">
        <is>
          <t>MD-10 Tarifa</t>
        </is>
      </c>
      <c r="M17" s="16" t="inlineStr">
        <is>
          <t>TX-05 · TX-07</t>
        </is>
      </c>
      <c r="N17" s="16" t="n">
        <v>11</v>
      </c>
      <c r="O17" s="10" t="inlineStr">
        <is>
          <t>Pendiente</t>
        </is>
      </c>
      <c r="P17" s="10" t="n"/>
    </row>
    <row r="18" ht="37.5" customHeight="1">
      <c r="A18" s="8" t="inlineStr">
        <is>
          <t>M-16</t>
        </is>
      </c>
      <c r="B18" s="8" t="inlineStr">
        <is>
          <t>Contratos</t>
        </is>
      </c>
      <c r="C18" s="9" t="inlineStr">
        <is>
          <t>Acuerdo con el cliente: servicios, ritmo, tolerancias, merma, volumen, cupos, plazos.</t>
        </is>
      </c>
      <c r="D18" s="9" t="inlineStr">
        <is>
          <t>2.7 Servicios, tarifas y contratos</t>
        </is>
      </c>
      <c r="E18" s="9" t="n">
        <v>2</v>
      </c>
      <c r="F18" s="9" t="inlineStr">
        <is>
          <t>numero</t>
        </is>
      </c>
      <c r="G18" s="9" t="inlineStr">
        <is>
          <t>M-06 · M-14</t>
        </is>
      </c>
      <c r="H18" s="9" t="inlineStr">
        <is>
          <t>Parcial</t>
        </is>
      </c>
      <c r="I18" s="9" t="inlineStr">
        <is>
          <t>Definición previa Nº 1: Comercial fija ritmo, tolerancia, merma, volumen comprometido, tope y espacio de cada contrato vigente antes de la carga.</t>
        </is>
      </c>
      <c r="J18" s="9" t="inlineStr">
        <is>
          <t>Comercial</t>
        </is>
      </c>
      <c r="K18" s="9" t="inlineStr">
        <is>
          <t>Comercial</t>
        </is>
      </c>
      <c r="L18" s="9" t="inlineStr">
        <is>
          <t>MD-11 Contrato</t>
        </is>
      </c>
      <c r="M18" s="9" t="inlineStr">
        <is>
          <t>TX-03 · TX-04 · TX-07 · TX-32 · TX-38 · TX-42</t>
        </is>
      </c>
      <c r="N18" s="9" t="n">
        <v>20</v>
      </c>
      <c r="O18" s="10" t="inlineStr">
        <is>
          <t>Pendiente</t>
        </is>
      </c>
      <c r="P18" s="10" t="n"/>
    </row>
    <row r="19" ht="87.5" customHeight="1">
      <c r="A19" s="15" t="inlineStr">
        <is>
          <t>M-17</t>
        </is>
      </c>
      <c r="B19" s="15" t="inlineStr">
        <is>
          <t>LineUp</t>
        </is>
      </c>
      <c r="C19" s="16" t="inlineStr">
        <is>
          <t>Agenda de buques del río: entrada principal de la planificación. Administración centralizada en dos tramos: Comercial / Backoffice registra el arribo con lo que informa el cliente o la agencia (buque, cliente, producto, toneladas, ETA, operación) y Planificación lo completa con lo que fija el Consorcio (ETB, ETC, sitio, orden de puerto, estado operativo).</t>
        </is>
      </c>
      <c r="D19" s="16" t="inlineStr">
        <is>
          <t>2.8 Planificación portuaria</t>
        </is>
      </c>
      <c r="E19" s="16" t="n">
        <v>1</v>
      </c>
      <c r="F19" s="16" t="inlineStr">
        <is>
          <t>codigo</t>
        </is>
      </c>
      <c r="G19" s="16" t="inlineStr">
        <is>
          <t>M-09 · M-08 · M-06 · M-21 · M-07 · M-25</t>
        </is>
      </c>
      <c r="H19" s="16" t="inlineStr">
        <is>
          <t>Parcial</t>
        </is>
      </c>
      <c r="I19" s="16" t="inlineStr">
        <is>
          <t>Carga inicial desde la planilla LINEUP.xlsx (versión 04/09/2026: hojas por puerto — PSN Cs. Grales, PSN Elevador, Timbúes, PGSM, Arroyo Seco, Necochea, Ramallo, AES, Villa Constitución — más la hoja "Integrado" como modelo de destino) y desde el Excel de LineUp de los últimos 24 meses (misma fuente que MD-06 y MD-16). Desde el go-live se alimenta por dos vías: el aviso del cliente registrado en TX-01 y la importación diaria de los LineUps de agencias / CGPSN / terminales.</t>
        </is>
      </c>
      <c r="J19" s="16" t="inlineStr">
        <is>
          <t>Comercial / Backoffice (tramo comercial) · Planificación / Operaciones Portuarias (tramo portuario)</t>
        </is>
      </c>
      <c r="K19" s="16" t="inlineStr">
        <is>
          <t>Cada rol autoriza su tramo (vigente al guardar)</t>
        </is>
      </c>
      <c r="L19" s="16" t="inlineStr">
        <is>
          <t>MD-00 LineUp portuario</t>
        </is>
      </c>
      <c r="M19" s="16" t="inlineStr">
        <is>
          <t>TX-01 · TX-02 · TX-09 · TX-11</t>
        </is>
      </c>
      <c r="N19" s="16" t="n">
        <v>29</v>
      </c>
      <c r="O19" s="10" t="inlineStr">
        <is>
          <t>Pendiente</t>
        </is>
      </c>
      <c r="P19" s="10" t="n"/>
    </row>
    <row r="20" ht="25" customHeight="1">
      <c r="A20" s="8" t="inlineStr">
        <is>
          <t>M-18</t>
        </is>
      </c>
      <c r="B20" s="8" t="inlineStr">
        <is>
          <t>Monedas y cotizaciones</t>
        </is>
      </c>
      <c r="C20" s="9" t="inlineStr">
        <is>
          <t>Monedas y su cotización.</t>
        </is>
      </c>
      <c r="D20" s="9" t="inlineStr">
        <is>
          <t>2.9 Parámetros generales</t>
        </is>
      </c>
      <c r="E20" s="9" t="n">
        <v>0</v>
      </c>
      <c r="F20" s="9" t="inlineStr">
        <is>
          <t>codigo</t>
        </is>
      </c>
      <c r="G20" s="9" t="inlineStr">
        <is>
          <t>— (raíz)</t>
        </is>
      </c>
      <c r="H20" s="9" t="inlineStr">
        <is>
          <t>Sí</t>
        </is>
      </c>
      <c r="I20" s="9" t="inlineStr">
        <is>
          <t>Integración automática con la fuente oficial más carga histórica de los últimos ejercicios.</t>
        </is>
      </c>
      <c r="J20" s="9" t="inlineStr">
        <is>
          <t>Administración y Finanzas</t>
        </is>
      </c>
      <c r="K20" s="9" t="inlineStr">
        <is>
          <t>Administración y Finanzas</t>
        </is>
      </c>
      <c r="L20" s="9" t="inlineStr">
        <is>
          <t>MD-32 Moneda y cotización</t>
        </is>
      </c>
      <c r="M20" s="9" t="inlineStr">
        <is>
          <t>—</t>
        </is>
      </c>
      <c r="N20" s="9" t="n">
        <v>6</v>
      </c>
      <c r="O20" s="10" t="inlineStr">
        <is>
          <t>Pendiente</t>
        </is>
      </c>
      <c r="P20" s="10" t="n"/>
    </row>
    <row r="21" ht="25" customHeight="1">
      <c r="A21" s="15" t="inlineStr">
        <is>
          <t>M-19</t>
        </is>
      </c>
      <c r="B21" s="15" t="inlineStr">
        <is>
          <t>Calendario y turnos</t>
        </is>
      </c>
      <c r="C21" s="16" t="inlineStr">
        <is>
          <t>Días hábiles e inhábiles y turnos por planta y fecha, sobre el régimen de turnos (33). Habilita los turnos en días inhábiles / feriados con su costo.</t>
        </is>
      </c>
      <c r="D21" s="16" t="inlineStr">
        <is>
          <t>2.9 Parámetros generales</t>
        </is>
      </c>
      <c r="E21" s="16" t="n">
        <v>1</v>
      </c>
      <c r="F21" s="16" t="inlineStr">
        <is>
          <t>planta+fecha+turno_codigo</t>
        </is>
      </c>
      <c r="G21" s="16" t="inlineStr">
        <is>
          <t>M-09 · M-33</t>
        </is>
      </c>
      <c r="H21" s="16" t="inlineStr">
        <is>
          <t>No</t>
        </is>
      </c>
      <c r="I21" s="16" t="inlineStr">
        <is>
          <t>Migración desde el régimen de turnos y relevos escrito en los procedimientos + carga anual de feriados por planta.</t>
        </is>
      </c>
      <c r="J21" s="16" t="inlineStr">
        <is>
          <t>RRHH · Operaciones</t>
        </is>
      </c>
      <c r="K21" s="16" t="inlineStr">
        <is>
          <t>RRHH · Operaciones</t>
        </is>
      </c>
      <c r="L21" s="16" t="inlineStr">
        <is>
          <t>MD-03 Calendario y turno</t>
        </is>
      </c>
      <c r="M21" s="16" t="inlineStr">
        <is>
          <t>TX-15 · TX-18 · TX-25 · TX-26</t>
        </is>
      </c>
      <c r="N21" s="16" t="n">
        <v>9</v>
      </c>
      <c r="O21" s="10" t="inlineStr">
        <is>
          <t>Pendiente</t>
        </is>
      </c>
      <c r="P21" s="10" t="n"/>
    </row>
    <row r="22" ht="50" customHeight="1">
      <c r="A22" s="8" t="inlineStr">
        <is>
          <t>M-20</t>
        </is>
      </c>
      <c r="B22" s="8" t="inlineStr">
        <is>
          <t>Tolerancias</t>
        </is>
      </c>
      <c r="C22" s="9" t="inlineStr">
        <is>
          <t>Cuánto desvío se admite en cada control y qué pasa al excederlo.</t>
        </is>
      </c>
      <c r="D22" s="9" t="inlineStr">
        <is>
          <t>2.9 Parámetros generales</t>
        </is>
      </c>
      <c r="E22" s="9" t="n">
        <v>0</v>
      </c>
      <c r="F22" s="9" t="inlineStr">
        <is>
          <t>codigo</t>
        </is>
      </c>
      <c r="G22" s="9" t="inlineStr">
        <is>
          <t>— (raíz)</t>
        </is>
      </c>
      <c r="H22" s="9" t="inlineStr">
        <is>
          <t>No</t>
        </is>
      </c>
      <c r="I22" s="9" t="inlineStr">
        <is>
          <t>Definición previa Nº 7: Operaciones, Logística y Tráfico fijan parámetro, límite y acción por proceso. v2: agrega antelación del aviso (SLA 15–30 días), rendimiento esperado por turno, tolerancia 4 % entre balanzas y desvío GPS.</t>
        </is>
      </c>
      <c r="J22" s="9" t="inlineStr">
        <is>
          <t>Operaciones · Logística · Tráfico</t>
        </is>
      </c>
      <c r="K22" s="9" t="inlineStr">
        <is>
          <t>Operaciones · Logística · Tráfico</t>
        </is>
      </c>
      <c r="L22" s="9" t="inlineStr">
        <is>
          <t>MD-34 Tolerancia operativa</t>
        </is>
      </c>
      <c r="M22" s="9" t="inlineStr">
        <is>
          <t>TX-03 · TX-18 · TX-21 · TX-26 · TX-30 · TX-38 · TX-39 · TX-42</t>
        </is>
      </c>
      <c r="N22" s="9" t="n">
        <v>8</v>
      </c>
      <c r="O22" s="10" t="inlineStr">
        <is>
          <t>Pendiente</t>
        </is>
      </c>
      <c r="P22" s="10" t="n"/>
    </row>
    <row r="23" ht="112.5" customHeight="1">
      <c r="A23" s="13" t="inlineStr">
        <is>
          <t>M-21</t>
        </is>
      </c>
      <c r="B23" s="13" t="inlineStr">
        <is>
          <t>Agencia marítima / Armador</t>
        </is>
      </c>
      <c r="C23" s="14" t="inlineStr">
        <is>
          <t>Representa al buque ante el puerto en cada arribo.</t>
        </is>
      </c>
      <c r="D23" s="14" t="inlineStr">
        <is>
          <t>2.2 Clientes, proveedores y terceros</t>
        </is>
      </c>
      <c r="E23" s="14" t="n">
        <v>0</v>
      </c>
      <c r="F23" s="14" t="inlineStr">
        <is>
          <t>identificacion_fiscal</t>
        </is>
      </c>
      <c r="G23" s="14" t="inlineStr">
        <is>
          <t>— (raíz)</t>
        </is>
      </c>
      <c r="H23" s="14" t="inlineStr">
        <is>
          <t>No</t>
        </is>
      </c>
      <c r="I23" s="14" t="inlineStr">
        <is>
          <t>Construcción desde la planilla del LineUp y los operativos de los últimos 24 meses. | Construcción nueva desde el relevamiento As-Is: Aduana, Consorcio / Autoridad portuaria, INTI (certificación de balanzas), RENPRE y RENAR. Hoy las gestiones ante estos organismos no quedan registradas. | Construcción nueva: BL, plan de bodegas / estiba, manifiesto, documentación de importación, carta de protesto, certificado de calidad, certificado INTI, habilitación aduanera. Hoy viven en la carpeta física por buque y el correo. No confundir con MD-33 (comprobantes fiscales).</t>
        </is>
      </c>
      <c r="J23" s="14" t="inlineStr">
        <is>
          <t>Operaciones Portuarias</t>
        </is>
      </c>
      <c r="K23" s="14" t="inlineStr">
        <is>
          <t>Operaciones Portuarias</t>
        </is>
      </c>
      <c r="L23" s="14" t="inlineStr">
        <is>
          <t>MD-06 Agencia marítima y armador + MD-36 Organismo externo + MD-37 Tipo de documento operativo</t>
        </is>
      </c>
      <c r="M23" s="14" t="inlineStr">
        <is>
          <t>TX-01 · TX-09 · TX-10 · TX-24 · TX-31 · TX-41</t>
        </is>
      </c>
      <c r="N23" s="14" t="n">
        <v>5</v>
      </c>
      <c r="O23" s="10" t="inlineStr">
        <is>
          <t>Pendiente</t>
        </is>
      </c>
      <c r="P23" s="10" t="n"/>
    </row>
    <row r="24" ht="25" customHeight="1">
      <c r="A24" s="8" t="inlineStr">
        <is>
          <t>M-22</t>
        </is>
      </c>
      <c r="B24" s="8" t="inlineStr">
        <is>
          <t>Despachante de aduana</t>
        </is>
      </c>
      <c r="C24" s="9" t="inlineStr">
        <is>
          <t>Nacionaliza la mercadería fiscal por cuenta del cliente.</t>
        </is>
      </c>
      <c r="D24" s="9" t="inlineStr">
        <is>
          <t>2.2 Clientes, proveedores y terceros</t>
        </is>
      </c>
      <c r="E24" s="9" t="n">
        <v>0</v>
      </c>
      <c r="F24" s="9" t="inlineStr">
        <is>
          <t>cuit</t>
        </is>
      </c>
      <c r="G24" s="9" t="inlineStr">
        <is>
          <t>— (raíz)</t>
        </is>
      </c>
      <c r="H24" s="9" t="inlineStr">
        <is>
          <t>No</t>
        </is>
      </c>
      <c r="I24" s="9" t="inlineStr">
        <is>
          <t>Construcción desde las operaciones de depósito fiscal de los últimos 24 meses.</t>
        </is>
      </c>
      <c r="J24" s="9" t="inlineStr">
        <is>
          <t>Comercial</t>
        </is>
      </c>
      <c r="K24" s="9" t="inlineStr">
        <is>
          <t>Comercial</t>
        </is>
      </c>
      <c r="L24" s="9" t="inlineStr">
        <is>
          <t>MD-08 Despachante de aduana</t>
        </is>
      </c>
      <c r="M24" s="9" t="inlineStr">
        <is>
          <t>—</t>
        </is>
      </c>
      <c r="N24" s="9" t="n">
        <v>6</v>
      </c>
      <c r="O24" s="10" t="inlineStr">
        <is>
          <t>Pendiente</t>
        </is>
      </c>
      <c r="P24" s="10" t="n"/>
    </row>
    <row r="25" ht="25" customHeight="1">
      <c r="A25" s="15" t="inlineStr">
        <is>
          <t>M-23</t>
        </is>
      </c>
      <c r="B25" s="15" t="inlineStr">
        <is>
          <t>Matriz de calidad</t>
        </is>
      </c>
      <c r="C25" s="16" t="inlineStr">
        <is>
          <t>Parámetros de calidad admitidos por producto.</t>
        </is>
      </c>
      <c r="D25" s="16" t="inlineStr">
        <is>
          <t>2.3 Productos y condiciones de mercadería</t>
        </is>
      </c>
      <c r="E25" s="16" t="n">
        <v>1</v>
      </c>
      <c r="F25" s="16" t="inlineStr">
        <is>
          <t>codigo</t>
        </is>
      </c>
      <c r="G25" s="16" t="inlineStr">
        <is>
          <t>M-07</t>
        </is>
      </c>
      <c r="H25" s="16" t="inlineStr">
        <is>
          <t>Parcial</t>
        </is>
      </c>
      <c r="I25" s="16" t="inlineStr">
        <is>
          <t>Migración desde las especificaciones técnicas y certificados que hoy administra Calidad; el resultado del muestreo hoy queda en planilla.</t>
        </is>
      </c>
      <c r="J25" s="16" t="inlineStr">
        <is>
          <t>Calidad</t>
        </is>
      </c>
      <c r="K25" s="16" t="inlineStr">
        <is>
          <t>Calidad</t>
        </is>
      </c>
      <c r="L25" s="16" t="inlineStr">
        <is>
          <t>MD-35 Calidad de mercadería</t>
        </is>
      </c>
      <c r="M25" s="16" t="inlineStr">
        <is>
          <t>TX-23 · TX-23.7 · TX-23.8 · TX-23.9 · TX-37</t>
        </is>
      </c>
      <c r="N25" s="16" t="n">
        <v>5</v>
      </c>
      <c r="O25" s="10" t="inlineStr">
        <is>
          <t>Pendiente</t>
        </is>
      </c>
      <c r="P25" s="10" t="n"/>
    </row>
    <row r="26" ht="25" customHeight="1">
      <c r="A26" s="8" t="inlineStr">
        <is>
          <t>M-24</t>
        </is>
      </c>
      <c r="B26" s="8" t="inlineStr">
        <is>
          <t>Matriz de compatibilidad</t>
        </is>
      </c>
      <c r="C26" s="9" t="inlineStr">
        <is>
          <t>Qué productos pueden convivir en la misma ubicación.</t>
        </is>
      </c>
      <c r="D26" s="9" t="inlineStr">
        <is>
          <t>2.3 Productos y condiciones de mercadería</t>
        </is>
      </c>
      <c r="E26" s="9" t="n">
        <v>1</v>
      </c>
      <c r="F26" s="9" t="inlineStr">
        <is>
          <t>producto_a+producto_b</t>
        </is>
      </c>
      <c r="G26" s="9" t="inlineStr">
        <is>
          <t>M-07</t>
        </is>
      </c>
      <c r="H26" s="9" t="inlineStr">
        <is>
          <t>No</t>
        </is>
      </c>
      <c r="I26" s="9" t="inlineStr">
        <is>
          <t>Migración desde la tabla de compatibilidad del procedimiento de Calidad, completando los pares faltantes.</t>
        </is>
      </c>
      <c r="J26" s="9" t="inlineStr">
        <is>
          <t>Calidad</t>
        </is>
      </c>
      <c r="K26" s="9" t="inlineStr">
        <is>
          <t>Calidad</t>
        </is>
      </c>
      <c r="L26" s="9" t="inlineStr">
        <is>
          <t>MD-15 Matriz de compatibilidad</t>
        </is>
      </c>
      <c r="M26" s="9" t="inlineStr">
        <is>
          <t>TX-13 · TX-23 · TX-23.2 · TX-23.4 · TX-23.7</t>
        </is>
      </c>
      <c r="N26" s="9" t="n">
        <v>4</v>
      </c>
      <c r="O26" s="10" t="inlineStr">
        <is>
          <t>Pendiente</t>
        </is>
      </c>
      <c r="P26" s="10" t="n"/>
    </row>
    <row r="27" ht="25" customHeight="1">
      <c r="A27" s="15" t="inlineStr">
        <is>
          <t>M-25</t>
        </is>
      </c>
      <c r="B27" s="15" t="inlineStr">
        <is>
          <t>Muelles</t>
        </is>
      </c>
      <c r="C27" s="16" t="inlineStr">
        <is>
          <t>Muelles, grúas de muelle y puntos de conexión donde se opera.</t>
        </is>
      </c>
      <c r="D27" s="16" t="inlineStr">
        <is>
          <t>2.4 Infraestructura</t>
        </is>
      </c>
      <c r="E27" s="16" t="n">
        <v>1</v>
      </c>
      <c r="F27" s="16" t="inlineStr">
        <is>
          <t>codigo</t>
        </is>
      </c>
      <c r="G27" s="16" t="inlineStr">
        <is>
          <t>M-09</t>
        </is>
      </c>
      <c r="H27" s="16" t="inlineStr">
        <is>
          <t>No</t>
        </is>
      </c>
      <c r="I27" s="16" t="inlineStr">
        <is>
          <t>Relevamiento de Operaciones Portuarias sobre los sitios, grúas y puntos de conexión que efectivamente se usan.</t>
        </is>
      </c>
      <c r="J27" s="16" t="inlineStr">
        <is>
          <t>Operaciones Portuarias</t>
        </is>
      </c>
      <c r="K27" s="16" t="inlineStr">
        <is>
          <t>Operaciones Portuarias</t>
        </is>
      </c>
      <c r="L27" s="16" t="inlineStr">
        <is>
          <t>MD-17 Muelle y punto de conexión</t>
        </is>
      </c>
      <c r="M27" s="16" t="inlineStr">
        <is>
          <t>TX-14 · TX-19 · TX-25 · TX-28</t>
        </is>
      </c>
      <c r="N27" s="16" t="n">
        <v>10</v>
      </c>
      <c r="O27" s="10" t="inlineStr">
        <is>
          <t>Pendiente</t>
        </is>
      </c>
      <c r="P27" s="10" t="n"/>
    </row>
    <row r="28" ht="37.5" customHeight="1">
      <c r="A28" s="8" t="inlineStr">
        <is>
          <t>M-26</t>
        </is>
      </c>
      <c r="B28" s="8" t="inlineStr">
        <is>
          <t>Balanzas</t>
        </is>
      </c>
      <c r="C28" s="9" t="inlineStr">
        <is>
          <t>Balanzas propias, de puerto y de terceros con su certificación y su habilitación fiscal (con vencimiento): si la mercadería del operativo no está nacionalizada solo se ofrecen las habilitadas para fiscal.</t>
        </is>
      </c>
      <c r="D28" s="9" t="inlineStr">
        <is>
          <t>2.4 Infraestructura</t>
        </is>
      </c>
      <c r="E28" s="9" t="n">
        <v>2</v>
      </c>
      <c r="F28" s="9" t="inlineStr">
        <is>
          <t>codigo</t>
        </is>
      </c>
      <c r="G28" s="9" t="inlineStr">
        <is>
          <t>M-09</t>
        </is>
      </c>
      <c r="H28" s="9" t="inlineStr">
        <is>
          <t>Parcial</t>
        </is>
      </c>
      <c r="I28" s="9" t="inlineStr">
        <is>
          <t>Definición previa Nº 2: Tráfico mide tn/h, camiones/h y disponibilidad por banda de cada balanza (B1, B2, fiscal de puerto) y declara cuál prevalece.</t>
        </is>
      </c>
      <c r="J28" s="9" t="inlineStr">
        <is>
          <t>Tráfico</t>
        </is>
      </c>
      <c r="K28" s="9" t="inlineStr">
        <is>
          <t>Tráfico</t>
        </is>
      </c>
      <c r="L28" s="9" t="inlineStr">
        <is>
          <t>MD-20 Balanza</t>
        </is>
      </c>
      <c r="M28" s="9" t="inlineStr">
        <is>
          <t>TX-22 · TX-32 · TX-33 · TX-34 · TX-39 · TX-40</t>
        </is>
      </c>
      <c r="N28" s="9" t="n">
        <v>18</v>
      </c>
      <c r="O28" s="10" t="inlineStr">
        <is>
          <t>Pendiente</t>
        </is>
      </c>
      <c r="P28" s="10" t="n"/>
    </row>
    <row r="29" ht="25" customHeight="1">
      <c r="A29" s="15" t="inlineStr">
        <is>
          <t>M-27</t>
        </is>
      </c>
      <c r="B29" s="15" t="inlineStr">
        <is>
          <t>Choferes</t>
        </is>
      </c>
      <c r="C29" s="16" t="inlineStr">
        <is>
          <t>Choferes habilitados con credencial portuaria. En la planificación el chofer es un recurso (cantidad de choferes habilitados); el nombre se registra en la ejecución / portería.</t>
        </is>
      </c>
      <c r="D29" s="16" t="inlineStr">
        <is>
          <t>2.2 Clientes, proveedores y terceros</t>
        </is>
      </c>
      <c r="E29" s="16" t="n">
        <v>0</v>
      </c>
      <c r="F29" s="16" t="inlineStr">
        <is>
          <t>cuil</t>
        </is>
      </c>
      <c r="G29" s="16" t="inlineStr">
        <is>
          <t>— (raíz)</t>
        </is>
      </c>
      <c r="H29" s="16" t="inlineStr">
        <is>
          <t>Sí</t>
        </is>
      </c>
      <c r="I29" s="16" t="inlineStr">
        <is>
          <t>Migración desde el registro de credenciales de Seguridad Patrimonial, con depuración de duplicados por CUIL.</t>
        </is>
      </c>
      <c r="J29" s="16" t="inlineStr">
        <is>
          <t>Logística</t>
        </is>
      </c>
      <c r="K29" s="16" t="inlineStr">
        <is>
          <t>Logística</t>
        </is>
      </c>
      <c r="L29" s="16" t="inlineStr">
        <is>
          <t>MD-22 Chofer</t>
        </is>
      </c>
      <c r="M29" s="16" t="inlineStr">
        <is>
          <t>TX-21 · TX-29</t>
        </is>
      </c>
      <c r="N29" s="16" t="n">
        <v>7</v>
      </c>
      <c r="O29" s="10" t="inlineStr">
        <is>
          <t>Pendiente</t>
        </is>
      </c>
      <c r="P29" s="10" t="n"/>
    </row>
    <row r="30" ht="25" customHeight="1">
      <c r="A30" s="8" t="inlineStr">
        <is>
          <t>M-28</t>
        </is>
      </c>
      <c r="B30" s="8" t="inlineStr">
        <is>
          <t>Personal propio</t>
        </is>
      </c>
      <c r="C30" s="9" t="inlineStr">
        <is>
          <t>Personal propio y eventual con su puesto y planta.</t>
        </is>
      </c>
      <c r="D30" s="9" t="inlineStr">
        <is>
          <t>2.6 Maquinaria, personal e insumos</t>
        </is>
      </c>
      <c r="E30" s="9" t="n">
        <v>2</v>
      </c>
      <c r="F30" s="9" t="inlineStr">
        <is>
          <t>legajo</t>
        </is>
      </c>
      <c r="G30" s="9" t="inlineStr">
        <is>
          <t>M-05 · M-09</t>
        </is>
      </c>
      <c r="H30" s="9" t="inlineStr">
        <is>
          <t>Parcial</t>
        </is>
      </c>
      <c r="I30" s="9" t="inlineStr">
        <is>
          <t>Migración desde RRHH para el personal propio y desde el registro de contratistas para eventuales y terceros.</t>
        </is>
      </c>
      <c r="J30" s="9" t="inlineStr">
        <is>
          <t>RRHH</t>
        </is>
      </c>
      <c r="K30" s="9" t="inlineStr">
        <is>
          <t>RRHH</t>
        </is>
      </c>
      <c r="L30" s="9" t="inlineStr">
        <is>
          <t>MD-25 Persona</t>
        </is>
      </c>
      <c r="M30" s="9" t="inlineStr">
        <is>
          <t>TX-18 · TX-19 · TX-26 · TX-27</t>
        </is>
      </c>
      <c r="N30" s="9" t="n">
        <v>7</v>
      </c>
      <c r="O30" s="10" t="inlineStr">
        <is>
          <t>Pendiente</t>
        </is>
      </c>
      <c r="P30" s="10" t="n"/>
    </row>
    <row r="31" ht="50" customHeight="1">
      <c r="A31" s="15" t="inlineStr">
        <is>
          <t>M-29</t>
        </is>
      </c>
      <c r="B31" s="15" t="inlineStr">
        <is>
          <t>Causas de demora</t>
        </is>
      </c>
      <c r="C31" s="16" t="inlineStr">
        <is>
          <t>Lista cerrada de motivos de demora.</t>
        </is>
      </c>
      <c r="D31" s="16" t="inlineStr">
        <is>
          <t>2.9 Parámetros generales</t>
        </is>
      </c>
      <c r="E31" s="16" t="n">
        <v>0</v>
      </c>
      <c r="F31" s="16" t="inlineStr">
        <is>
          <t>codigo</t>
        </is>
      </c>
      <c r="G31" s="16" t="inlineStr">
        <is>
          <t>— (raíz)</t>
        </is>
      </c>
      <c r="H31" s="16" t="inlineStr">
        <is>
          <t>No</t>
        </is>
      </c>
      <c r="I31" s="16" t="inlineStr">
        <is>
          <t>Definición previa Nº 4: Operaciones y Calidad fijan la lista cerrada con categoría, imputable y efecto sobre el ritmo contractual. v2: incorpora congestión de balanza, recepción lenta en depósito y desvío logístico (GPS).</t>
        </is>
      </c>
      <c r="J31" s="16" t="inlineStr">
        <is>
          <t>Operaciones · Calidad</t>
        </is>
      </c>
      <c r="K31" s="16" t="inlineStr">
        <is>
          <t>Operaciones · Calidad</t>
        </is>
      </c>
      <c r="L31" s="16" t="inlineStr">
        <is>
          <t>MD-26 Causa de demora</t>
        </is>
      </c>
      <c r="M31" s="16" t="inlineStr">
        <is>
          <t>TX-27 · TX-31 · TX-33</t>
        </is>
      </c>
      <c r="N31" s="16" t="n">
        <v>6</v>
      </c>
      <c r="O31" s="10" t="inlineStr">
        <is>
          <t>Pendiente</t>
        </is>
      </c>
      <c r="P31" s="10" t="n"/>
    </row>
    <row r="32" ht="25" customHeight="1">
      <c r="A32" s="8" t="inlineStr">
        <is>
          <t>M-30</t>
        </is>
      </c>
      <c r="B32" s="8" t="inlineStr">
        <is>
          <t>Insumos y repuestos</t>
        </is>
      </c>
      <c r="C32" s="9" t="inlineStr">
        <is>
          <t>Repuestos e insumos del pañol.</t>
        </is>
      </c>
      <c r="D32" s="9" t="inlineStr">
        <is>
          <t>2.6 Maquinaria, personal e insumos</t>
        </is>
      </c>
      <c r="E32" s="9" t="n">
        <v>1</v>
      </c>
      <c r="F32" s="9" t="inlineStr">
        <is>
          <t>codigo</t>
        </is>
      </c>
      <c r="G32" s="9" t="inlineStr">
        <is>
          <t>M-09</t>
        </is>
      </c>
      <c r="H32" s="9" t="inlineStr">
        <is>
          <t>No</t>
        </is>
      </c>
      <c r="I32" s="9" t="inlineStr">
        <is>
          <t>Relevamiento físico del pañol con criticidad, stock mínimo y proveedor habitual por repuesto.</t>
        </is>
      </c>
      <c r="J32" s="9" t="inlineStr">
        <is>
          <t>Mantenimiento · Pañol</t>
        </is>
      </c>
      <c r="K32" s="9" t="inlineStr">
        <is>
          <t>Mantenimiento · Pañol</t>
        </is>
      </c>
      <c r="L32" s="9" t="inlineStr">
        <is>
          <t>MD-29 Repuesto de pañol</t>
        </is>
      </c>
      <c r="M32" s="9" t="inlineStr">
        <is>
          <t>—</t>
        </is>
      </c>
      <c r="N32" s="9" t="n">
        <v>14</v>
      </c>
      <c r="O32" s="10" t="inlineStr">
        <is>
          <t>Pendiente</t>
        </is>
      </c>
      <c r="P32" s="10" t="n"/>
    </row>
    <row r="33" ht="25" customHeight="1">
      <c r="A33" s="35" t="inlineStr">
        <is>
          <t>M-31</t>
        </is>
      </c>
      <c r="B33" s="35" t="inlineStr">
        <is>
          <t>Cupos de ingreso</t>
        </is>
      </c>
      <c r="C33" s="36" t="inlineStr">
        <is>
          <t>Cuadro de cupos de ingreso por camión (no buque): fecha, planta, cliente, producto, camiones y toneladas autorizadas. Entrada de la planificación para servicios sin buque. Administración centralizada en dos tramos: Comercial carga el cupo (cliente, producto, contrato, día, camiones, toneladas) y Tráfico — Portería lo completa (turno, portón, confirmación de planta).</t>
        </is>
      </c>
      <c r="D33" s="36" t="inlineStr">
        <is>
          <t>2.8 Planificación portuaria y de arribos</t>
        </is>
      </c>
      <c r="E33" s="36" t="n">
        <v>3</v>
      </c>
      <c r="F33" s="36" t="inlineStr">
        <is>
          <t>codigo</t>
        </is>
      </c>
      <c r="G33" s="36" t="inlineStr">
        <is>
          <t>M-09 · M-06 · M-07 · M-16</t>
        </is>
      </c>
      <c r="H33" s="36" t="inlineStr">
        <is>
          <t>Parcial (planilla de cupos)</t>
        </is>
      </c>
      <c r="I33" s="36" t="inlineStr">
        <is>
          <t>Carga inicial desde la planilla de cupos vigente; después alta diaria por Comercial y completado por Tráfico — Portería.</t>
        </is>
      </c>
      <c r="J33" s="36" t="inlineStr">
        <is>
          <t>Comercial / Backoffice (tramo comercial) · Tráfico — Portería y Balanza (tramo de portería)</t>
        </is>
      </c>
      <c r="K33" s="36" t="inlineStr">
        <is>
          <t>Cada rol autoriza su tramo (vigente al guardar)</t>
        </is>
      </c>
      <c r="L33" s="36" t="inlineStr">
        <is>
          <t>— (nuevo en el modelo; faltaba en v3.0)</t>
        </is>
      </c>
      <c r="M33" s="36" t="inlineStr">
        <is>
          <t>TX-01 · TX-04 · TX-21 · TX-22 · TX-32</t>
        </is>
      </c>
      <c r="N33" s="36" t="n">
        <v>15</v>
      </c>
      <c r="O33" s="10" t="inlineStr">
        <is>
          <t>Pendiente</t>
        </is>
      </c>
      <c r="P33" s="10" t="inlineStr">
        <is>
          <t>Incorporado en v3.1: estaba en el FD v1.0 y en el simulador, pero no en este Excel.</t>
        </is>
      </c>
    </row>
    <row r="34" ht="25" customHeight="1">
      <c r="A34" s="35" t="inlineStr">
        <is>
          <t>M-32</t>
        </is>
      </c>
      <c r="B34" s="35" t="inlineStr">
        <is>
          <t>Arribos ferroviarios</t>
        </is>
      </c>
      <c r="C34" s="36" t="inlineStr">
        <is>
          <t>Programa de trenes: formaciones que arriban a la playa de vías con mercadería del cliente (ingreso) o para cargar (egreso). Es la entrada de los servicios sin buque que llegan por ferrocarril; se administra en forma centralizada con dos tramos: comercial (Comercial / Backoffice) y operativo (Logística).</t>
        </is>
      </c>
      <c r="D34" s="36" t="inlineStr">
        <is>
          <t>2.8 Planificación portuaria y de arribos</t>
        </is>
      </c>
      <c r="E34" s="36" t="n">
        <v>3</v>
      </c>
      <c r="F34" s="36" t="inlineStr">
        <is>
          <t>codigo</t>
        </is>
      </c>
      <c r="G34" s="36" t="inlineStr">
        <is>
          <t>M-09 · M-06 · M-07 · M-16</t>
        </is>
      </c>
      <c r="H34" s="36" t="inlineStr">
        <is>
          <t>No (hoy avisos por correo / teléfono del operador)</t>
        </is>
      </c>
      <c r="I34" s="36" t="inlineStr">
        <is>
          <t>Construcción desde los avisos de los operadores ferroviarios (BCyL, NCA); alta por Comercial y completado por Logística.</t>
        </is>
      </c>
      <c r="J34" s="36" t="inlineStr">
        <is>
          <t>Comercial / Backoffice (tramo comercial) · Logística (tramo operativo)</t>
        </is>
      </c>
      <c r="K34" s="36" t="inlineStr">
        <is>
          <t>Cada rol autoriza su tramo (vigente al guardar)</t>
        </is>
      </c>
      <c r="L34" s="36" t="inlineStr">
        <is>
          <t>— (nuevo en la revisión 15/09/2026)</t>
        </is>
      </c>
      <c r="M34" s="36" t="inlineStr">
        <is>
          <t>TX-43 · TX-21 · TX-22 · TX-23</t>
        </is>
      </c>
      <c r="N34" s="36" t="n">
        <v>17</v>
      </c>
      <c r="O34" s="10" t="inlineStr">
        <is>
          <t>Pendiente</t>
        </is>
      </c>
      <c r="P34" s="10" t="inlineStr">
        <is>
          <t>Revisión 15/09/2026: la mercadería también arriba por ferrocarril.</t>
        </is>
      </c>
    </row>
    <row r="35" ht="25" customHeight="1">
      <c r="A35" s="35" t="inlineStr">
        <is>
          <t>M-33</t>
        </is>
      </c>
      <c r="B35" s="35" t="inlineStr">
        <is>
          <t>Régimen de turnos</t>
        </is>
      </c>
      <c r="C35" s="36" t="inlineStr">
        <is>
          <t>Turnos operativos del día y su duración (por defecto 4 turnos de 6 h). Parametriza la duración del turno: la cantidad de turnos planificados determina la duración del operativo (ETC = ETB + turnos × duración). 19 Calendario y turnos clasifica cada día (hábil / inhábil / feriado) sobre estos turnos.</t>
        </is>
      </c>
      <c r="D35" s="36" t="inlineStr">
        <is>
          <t>2.9 Parámetros generales</t>
        </is>
      </c>
      <c r="E35" s="36" t="n">
        <v>0</v>
      </c>
      <c r="F35" s="36" t="inlineStr">
        <is>
          <t>codigo</t>
        </is>
      </c>
      <c r="G35" s="36" t="inlineStr">
        <is>
          <t>— (raíz)</t>
        </is>
      </c>
      <c r="H35" s="36" t="inlineStr">
        <is>
          <t>Parcial (régimen escrito en los convenios; hoy 3 × 8 h)</t>
        </is>
      </c>
      <c r="I35" s="36" t="inlineStr">
        <is>
          <t>Definición previa Nº 13: RRHH y Operaciones fijan los 4 turnos de 6 h (T1 06–12 · T2 12–18 · T3 18–24 · T4 00–06) y el inicio del día operativo.</t>
        </is>
      </c>
      <c r="J35" s="36" t="inlineStr">
        <is>
          <t>RRHH · Operaciones</t>
        </is>
      </c>
      <c r="K35" s="36" t="inlineStr">
        <is>
          <t>RRHH y Planta (cadena de autorización)</t>
        </is>
      </c>
      <c r="L35" s="36" t="inlineStr">
        <is>
          <t>— (nuevo en la revisión 15/09/2026)</t>
        </is>
      </c>
      <c r="M35" s="36" t="inlineStr">
        <is>
          <t>TX-15 · TX-18 · TX-25 · TX-26</t>
        </is>
      </c>
      <c r="N35" s="36" t="n">
        <v>8</v>
      </c>
      <c r="O35" s="10" t="inlineStr">
        <is>
          <t>Pendiente</t>
        </is>
      </c>
      <c r="P35" s="10" t="inlineStr">
        <is>
          <t>Revisión 15/09/2026: turnos de 6 h parametrizados; la cantidad de turnos define la duración del operativo.</t>
        </is>
      </c>
    </row>
    <row r="36" ht="25" customHeight="1">
      <c r="A36" s="35" t="inlineStr">
        <is>
          <t>M-34</t>
        </is>
      </c>
      <c r="B36" s="35" t="inlineStr">
        <is>
          <t>Métodos seguros</t>
        </is>
      </c>
      <c r="C36" s="36" t="inlineStr">
        <is>
          <t>Procedimiento y documentación que avalan la forma segura de gestionar un recurso u operación (método seguro, MS). Cada recurso de la master data referencia el o los MS que lo avalan; un MS vencido deja al recurso sin disponibilidad para planificar (o lo deja con observación, según la acción declarada al vencer).</t>
        </is>
      </c>
      <c r="D36" s="36" t="inlineStr">
        <is>
          <t>2.10 Seguridad y métodos seguros</t>
        </is>
      </c>
      <c r="E36" s="36" t="n">
        <v>0</v>
      </c>
      <c r="F36" s="36" t="inlineStr">
        <is>
          <t>codigo</t>
        </is>
      </c>
      <c r="G36" s="36" t="inlineStr">
        <is>
          <t>M-05</t>
        </is>
      </c>
      <c r="H36" s="36" t="inlineStr">
        <is>
          <t>Parcial (procedimientos de SyH en papel / carpeta)</t>
        </is>
      </c>
      <c r="I36" s="36" t="inlineStr">
        <is>
          <t>Definición previa Nº 14: Seguridad e Higiene inventaría los procedimientos vigentes con tipo, documento, versión, vencimiento y acción al vencer, y los asocia a cada recurso.</t>
        </is>
      </c>
      <c r="J36" s="36" t="inlineStr">
        <is>
          <t>Seguridad e Higiene</t>
        </is>
      </c>
      <c r="K36" s="36" t="inlineStr">
        <is>
          <t>Seguridad e Higiene (cadena de autorización)</t>
        </is>
      </c>
      <c r="L36" s="36" t="inlineStr">
        <is>
          <t>— (nuevo en la revisión 15/09/2026)</t>
        </is>
      </c>
      <c r="M36" s="36" t="inlineStr">
        <is>
          <t>TX-14 · TX-18 · TX-21 · TX-22 · TX-23</t>
        </is>
      </c>
      <c r="N36" s="36" t="n">
        <v>12</v>
      </c>
      <c r="O36" s="10" t="inlineStr">
        <is>
          <t>Pendiente</t>
        </is>
      </c>
      <c r="P36" s="10" t="inlineStr">
        <is>
          <t>Revisión 15/09/2026: atributo "Método seguro" en la master data.</t>
        </is>
      </c>
    </row>
  </sheetData>
  <autoFilter ref="A1:P36"/>
  <dataValidations count="1">
    <dataValidation sqref="O2:O36" showDropDown="0" showInputMessage="0" showErrorMessage="0" allowBlank="1" type="list">
      <formula1>"Pendiente,Validado,Con cambios,Eliminar"</formula1>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theme="0" tint="-0.3499862666707358"/>
    <outlinePr summaryBelow="1" summaryRight="1"/>
    <pageSetUpPr/>
  </sheetPr>
  <dimension ref="A1:N375"/>
  <sheetViews>
    <sheetView tabSelected="1" zoomScaleNormal="100" workbookViewId="0">
      <pane xSplit="4" ySplit="1" topLeftCell="E293" activePane="bottomRight" state="frozen"/>
      <selection pane="topRight" activeCell="E1" sqref="E1"/>
      <selection pane="bottomLeft" activeCell="A5" sqref="A5"/>
      <selection pane="bottomRight" activeCell="B1" sqref="B1:D306"/>
    </sheetView>
  </sheetViews>
  <sheetFormatPr baseColWidth="10" defaultColWidth="8.6328125" defaultRowHeight="14.5"/>
  <cols>
    <col width="8" customWidth="1" min="1" max="1"/>
    <col width="22" customWidth="1" min="2" max="2"/>
    <col width="6" customWidth="1" min="3" max="3"/>
    <col width="28" customWidth="1" min="4" max="4"/>
    <col width="20" customWidth="1" min="5" max="5"/>
    <col width="13" customWidth="1" min="6" max="6"/>
    <col width="44" customWidth="1" min="7" max="7"/>
    <col width="14" customWidth="1" min="8" max="8"/>
    <col width="60" customWidth="1" min="9" max="9"/>
    <col width="12" customWidth="1" min="10" max="11"/>
    <col width="26" customWidth="1" min="12" max="12"/>
    <col width="15" customWidth="1" min="13" max="13"/>
    <col width="40" customWidth="1" min="14" max="14"/>
  </cols>
  <sheetData>
    <row r="1" ht="30" customFormat="1" customHeight="1" s="28">
      <c r="A1" s="27" t="inlineStr">
        <is>
          <t>M</t>
        </is>
      </c>
      <c r="B1" s="27" t="inlineStr">
        <is>
          <t>Entidad</t>
        </is>
      </c>
      <c r="C1" s="27" t="inlineStr">
        <is>
          <t>Nº</t>
        </is>
      </c>
      <c r="D1" s="27" t="inlineStr">
        <is>
          <t>Atributo</t>
        </is>
      </c>
      <c r="E1" s="27" t="inlineStr">
        <is>
          <t>Tipo de dato</t>
        </is>
      </c>
      <c r="F1" s="27" t="inlineStr">
        <is>
          <t>Obligatorio</t>
        </is>
      </c>
      <c r="G1" s="27" t="inlineStr">
        <is>
          <t>Dominio de valores / validación</t>
        </is>
      </c>
      <c r="H1" s="27" t="inlineStr">
        <is>
          <t>¿Parámetro administrable?</t>
        </is>
      </c>
      <c r="I1" s="27" t="inlineStr">
        <is>
          <t>Regla / observación</t>
        </is>
      </c>
      <c r="J1" s="27" t="inlineStr">
        <is>
          <t>Origen</t>
        </is>
      </c>
      <c r="K1" s="27" t="inlineStr">
        <is>
          <t>Carácter</t>
        </is>
      </c>
      <c r="L1" s="27" t="inlineStr">
        <is>
          <t>Equivalente v2.2</t>
        </is>
      </c>
      <c r="M1" s="27" t="inlineStr">
        <is>
          <t>Revisión en sesión</t>
        </is>
      </c>
      <c r="N1" s="27" t="inlineStr">
        <is>
          <t>Comentarios del equipo</t>
        </is>
      </c>
    </row>
    <row r="2" customFormat="1" s="28">
      <c r="A2" s="29" t="inlineStr">
        <is>
          <t>M-01</t>
        </is>
      </c>
      <c r="B2" s="29" t="inlineStr">
        <is>
          <t>Unidad de negocio</t>
        </is>
      </c>
      <c r="C2" s="29" t="n">
        <v>1</v>
      </c>
      <c r="D2" s="30" t="inlineStr">
        <is>
          <t>codigo</t>
        </is>
      </c>
      <c r="E2" s="29" t="inlineStr">
        <is>
          <t>Código (8)</t>
        </is>
      </c>
      <c r="F2" s="29" t="inlineStr">
        <is>
          <t>Sí</t>
        </is>
      </c>
      <c r="G2" s="29" t="inlineStr">
        <is>
          <t>—</t>
        </is>
      </c>
      <c r="H2" s="29" t="inlineStr">
        <is>
          <t>No</t>
        </is>
      </c>
      <c r="I2" s="29" t="inlineStr">
        <is>
          <t>—</t>
        </is>
      </c>
      <c r="J2" s="29" t="inlineStr">
        <is>
          <t>Modelo</t>
        </is>
      </c>
      <c r="K2" s="29" t="inlineStr">
        <is>
          <t>propio</t>
        </is>
      </c>
      <c r="L2" s="29" t="inlineStr">
        <is>
          <t>MD-01.codigo</t>
        </is>
      </c>
      <c r="M2" s="31" t="inlineStr">
        <is>
          <t>Pendiente</t>
        </is>
      </c>
      <c r="N2" s="31" t="n"/>
    </row>
    <row r="3">
      <c r="A3" s="16" t="inlineStr">
        <is>
          <t>M-01</t>
        </is>
      </c>
      <c r="B3" s="16" t="inlineStr">
        <is>
          <t>Unidad de negocio</t>
        </is>
      </c>
      <c r="C3" s="16" t="n">
        <v>2</v>
      </c>
      <c r="D3" s="15" t="inlineStr">
        <is>
          <t>nombre</t>
        </is>
      </c>
      <c r="E3" s="16" t="inlineStr">
        <is>
          <t>Texto (120)</t>
        </is>
      </c>
      <c r="F3" s="16" t="inlineStr">
        <is>
          <t>Sí</t>
        </is>
      </c>
      <c r="G3" s="16" t="inlineStr">
        <is>
          <t>—</t>
        </is>
      </c>
      <c r="H3" s="16" t="inlineStr">
        <is>
          <t>No</t>
        </is>
      </c>
      <c r="I3" s="16" t="inlineStr">
        <is>
          <t>—</t>
        </is>
      </c>
      <c r="J3" s="16" t="inlineStr">
        <is>
          <t>Modelo</t>
        </is>
      </c>
      <c r="K3" s="16" t="inlineStr">
        <is>
          <t>propio</t>
        </is>
      </c>
      <c r="L3" s="16" t="inlineStr">
        <is>
          <t>MD-01.razon_social</t>
        </is>
      </c>
      <c r="M3" s="10" t="inlineStr">
        <is>
          <t>Pendiente</t>
        </is>
      </c>
      <c r="N3" s="10" t="n"/>
    </row>
    <row r="4">
      <c r="A4" s="9" t="inlineStr">
        <is>
          <t>M-01</t>
        </is>
      </c>
      <c r="B4" s="9" t="inlineStr">
        <is>
          <t>Unidad de negocio</t>
        </is>
      </c>
      <c r="C4" s="9" t="n">
        <v>3</v>
      </c>
      <c r="D4" s="8" t="inlineStr">
        <is>
          <t>cuit</t>
        </is>
      </c>
      <c r="E4" s="9" t="inlineStr">
        <is>
          <t>Código (11)</t>
        </is>
      </c>
      <c r="F4" s="9" t="inlineStr">
        <is>
          <t>Sí</t>
        </is>
      </c>
      <c r="G4" s="9" t="inlineStr">
        <is>
          <t>11 dígitos</t>
        </is>
      </c>
      <c r="H4" s="9" t="inlineStr">
        <is>
          <t>No</t>
        </is>
      </c>
      <c r="I4" s="9" t="inlineStr">
        <is>
          <t>—</t>
        </is>
      </c>
      <c r="J4" s="9" t="inlineStr">
        <is>
          <t>Modelo</t>
        </is>
      </c>
      <c r="K4" s="9" t="inlineStr">
        <is>
          <t>propio</t>
        </is>
      </c>
      <c r="L4" s="9" t="inlineStr">
        <is>
          <t>MD-01.cuit</t>
        </is>
      </c>
      <c r="M4" s="10" t="inlineStr">
        <is>
          <t>Pendiente</t>
        </is>
      </c>
      <c r="N4" s="10" t="n"/>
    </row>
    <row r="5">
      <c r="A5" s="12" t="inlineStr">
        <is>
          <t>M-01</t>
        </is>
      </c>
      <c r="B5" s="12" t="inlineStr">
        <is>
          <t>Unidad de negocio</t>
        </is>
      </c>
      <c r="C5" s="12" t="n">
        <v>4</v>
      </c>
      <c r="D5" s="11" t="inlineStr">
        <is>
          <t>grupo_economico</t>
        </is>
      </c>
      <c r="E5" s="12" t="inlineStr">
        <is>
          <t>Texto (80)</t>
        </is>
      </c>
      <c r="F5" s="12" t="inlineStr">
        <is>
          <t>No</t>
        </is>
      </c>
      <c r="G5" s="12" t="inlineStr">
        <is>
          <t>—</t>
        </is>
      </c>
      <c r="H5" s="12" t="inlineStr">
        <is>
          <t>No</t>
        </is>
      </c>
      <c r="I5" s="12" t="inlineStr">
        <is>
          <t>—</t>
        </is>
      </c>
      <c r="J5" s="12" t="inlineStr">
        <is>
          <t>Modelo</t>
        </is>
      </c>
      <c r="K5" s="12" t="inlineStr">
        <is>
          <t>propio</t>
        </is>
      </c>
      <c r="L5" s="12" t="inlineStr">
        <is>
          <t>— (nuevo)</t>
        </is>
      </c>
      <c r="M5" s="10" t="inlineStr">
        <is>
          <t>Pendiente</t>
        </is>
      </c>
      <c r="N5" s="10" t="n"/>
    </row>
    <row r="6">
      <c r="A6" s="9" t="inlineStr">
        <is>
          <t>M-01</t>
        </is>
      </c>
      <c r="B6" s="9" t="inlineStr">
        <is>
          <t>Unidad de negocio</t>
        </is>
      </c>
      <c r="C6" s="9" t="n">
        <v>5</v>
      </c>
      <c r="D6" s="8" t="inlineStr">
        <is>
          <t>moneda_funcional</t>
        </is>
      </c>
      <c r="E6" s="9" t="inlineStr">
        <is>
          <t>Ref. M-18</t>
        </is>
      </c>
      <c r="F6" s="9" t="inlineStr">
        <is>
          <t>Sí</t>
        </is>
      </c>
      <c r="G6" s="9" t="inlineStr">
        <is>
          <t>—</t>
        </is>
      </c>
      <c r="H6" s="9" t="inlineStr">
        <is>
          <t>No</t>
        </is>
      </c>
      <c r="I6" s="9" t="inlineStr">
        <is>
          <t>—</t>
        </is>
      </c>
      <c r="J6" s="9" t="inlineStr">
        <is>
          <t>Modelo</t>
        </is>
      </c>
      <c r="K6" s="9" t="inlineStr">
        <is>
          <t>propio</t>
        </is>
      </c>
      <c r="L6" s="9" t="inlineStr">
        <is>
          <t>MD-01.moneda_funcional</t>
        </is>
      </c>
      <c r="M6" s="10" t="inlineStr">
        <is>
          <t>Pendiente</t>
        </is>
      </c>
      <c r="N6" s="10" t="n"/>
    </row>
    <row r="7">
      <c r="A7" s="16" t="inlineStr">
        <is>
          <t>M-01</t>
        </is>
      </c>
      <c r="B7" s="16" t="inlineStr">
        <is>
          <t>Unidad de negocio</t>
        </is>
      </c>
      <c r="C7" s="16" t="n">
        <v>6</v>
      </c>
      <c r="D7" s="15" t="inlineStr">
        <is>
          <t>plan_cuentas</t>
        </is>
      </c>
      <c r="E7" s="16" t="inlineStr">
        <is>
          <t>Texto (40)</t>
        </is>
      </c>
      <c r="F7" s="16" t="inlineStr">
        <is>
          <t>No</t>
        </is>
      </c>
      <c r="G7" s="16" t="inlineStr">
        <is>
          <t>—</t>
        </is>
      </c>
      <c r="H7" s="16" t="inlineStr">
        <is>
          <t>No</t>
        </is>
      </c>
      <c r="I7" s="16" t="inlineStr">
        <is>
          <t>Referencia al plan de cuentas (las cuentas viven en 3 Cuenta objeto)</t>
        </is>
      </c>
      <c r="J7" s="16" t="inlineStr">
        <is>
          <t>Modelo</t>
        </is>
      </c>
      <c r="K7" s="16" t="inlineStr">
        <is>
          <t>propio</t>
        </is>
      </c>
      <c r="L7" s="16" t="inlineStr">
        <is>
          <t>MD-01.plan_cuentas</t>
        </is>
      </c>
      <c r="M7" s="10" t="inlineStr">
        <is>
          <t>Pendiente</t>
        </is>
      </c>
      <c r="N7" s="10" t="n"/>
    </row>
    <row r="8">
      <c r="A8" s="9" t="inlineStr">
        <is>
          <t>M-01</t>
        </is>
      </c>
      <c r="B8" s="9" t="inlineStr">
        <is>
          <t>Unidad de negocio</t>
        </is>
      </c>
      <c r="C8" s="9" t="n">
        <v>7</v>
      </c>
      <c r="D8" s="8" t="inlineStr">
        <is>
          <t>estado</t>
        </is>
      </c>
      <c r="E8" s="9" t="inlineStr">
        <is>
          <t>Enumerado</t>
        </is>
      </c>
      <c r="F8" s="9" t="inlineStr">
        <is>
          <t>Sí</t>
        </is>
      </c>
      <c r="G8" s="9" t="inlineStr">
        <is>
          <t>activa · inactiva</t>
        </is>
      </c>
      <c r="H8" s="9" t="inlineStr">
        <is>
          <t>No</t>
        </is>
      </c>
      <c r="I8" s="9" t="inlineStr">
        <is>
          <t>—</t>
        </is>
      </c>
      <c r="J8" s="9" t="inlineStr">
        <is>
          <t>Modelo</t>
        </is>
      </c>
      <c r="K8" s="9" t="inlineStr">
        <is>
          <t>propio</t>
        </is>
      </c>
      <c r="L8" s="9" t="inlineStr">
        <is>
          <t>MD-01.estado</t>
        </is>
      </c>
      <c r="M8" s="10" t="inlineStr">
        <is>
          <t>Pendiente</t>
        </is>
      </c>
      <c r="N8" s="10" t="n"/>
    </row>
    <row r="9">
      <c r="A9" s="12" t="inlineStr">
        <is>
          <t>M-02</t>
        </is>
      </c>
      <c r="B9" s="12" t="inlineStr">
        <is>
          <t>Centro de costo</t>
        </is>
      </c>
      <c r="C9" s="12" t="n">
        <v>1</v>
      </c>
      <c r="D9" s="11" t="inlineStr">
        <is>
          <t>codigo</t>
        </is>
      </c>
      <c r="E9" s="12" t="inlineStr">
        <is>
          <t>Código (12)</t>
        </is>
      </c>
      <c r="F9" s="12" t="inlineStr">
        <is>
          <t>Sí</t>
        </is>
      </c>
      <c r="G9" s="12" t="inlineStr">
        <is>
          <t>—</t>
        </is>
      </c>
      <c r="H9" s="12" t="inlineStr">
        <is>
          <t>No</t>
        </is>
      </c>
      <c r="I9" s="12" t="inlineStr">
        <is>
          <t>—</t>
        </is>
      </c>
      <c r="J9" s="12" t="inlineStr">
        <is>
          <t>Modelo</t>
        </is>
      </c>
      <c r="K9" s="12" t="inlineStr">
        <is>
          <t>propio</t>
        </is>
      </c>
      <c r="L9" s="12" t="inlineStr">
        <is>
          <t>— (nuevo)</t>
        </is>
      </c>
      <c r="M9" s="10" t="inlineStr">
        <is>
          <t>Pendiente</t>
        </is>
      </c>
      <c r="N9" s="10" t="n"/>
    </row>
    <row r="10">
      <c r="A10" s="12" t="inlineStr">
        <is>
          <t>M-02</t>
        </is>
      </c>
      <c r="B10" s="12" t="inlineStr">
        <is>
          <t>Centro de costo</t>
        </is>
      </c>
      <c r="C10" s="12" t="n">
        <v>2</v>
      </c>
      <c r="D10" s="11" t="inlineStr">
        <is>
          <t>nombre</t>
        </is>
      </c>
      <c r="E10" s="12" t="inlineStr">
        <is>
          <t>Texto (80)</t>
        </is>
      </c>
      <c r="F10" s="12" t="inlineStr">
        <is>
          <t>Sí</t>
        </is>
      </c>
      <c r="G10" s="12" t="inlineStr">
        <is>
          <t>—</t>
        </is>
      </c>
      <c r="H10" s="12" t="inlineStr">
        <is>
          <t>No</t>
        </is>
      </c>
      <c r="I10" s="12" t="inlineStr">
        <is>
          <t>—</t>
        </is>
      </c>
      <c r="J10" s="12" t="inlineStr">
        <is>
          <t>Modelo</t>
        </is>
      </c>
      <c r="K10" s="12" t="inlineStr">
        <is>
          <t>propio</t>
        </is>
      </c>
      <c r="L10" s="12" t="inlineStr">
        <is>
          <t>— (nuevo)</t>
        </is>
      </c>
      <c r="M10" s="10" t="inlineStr">
        <is>
          <t>Pendiente</t>
        </is>
      </c>
      <c r="N10" s="10" t="n"/>
    </row>
    <row r="11">
      <c r="A11" s="12" t="inlineStr">
        <is>
          <t>M-02</t>
        </is>
      </c>
      <c r="B11" s="12" t="inlineStr">
        <is>
          <t>Centro de costo</t>
        </is>
      </c>
      <c r="C11" s="12" t="n">
        <v>3</v>
      </c>
      <c r="D11" s="11" t="inlineStr">
        <is>
          <t>unidad_negocio</t>
        </is>
      </c>
      <c r="E11" s="12" t="inlineStr">
        <is>
          <t>Ref. M-01</t>
        </is>
      </c>
      <c r="F11" s="12" t="inlineStr">
        <is>
          <t>Sí</t>
        </is>
      </c>
      <c r="G11" s="12" t="inlineStr">
        <is>
          <t>—</t>
        </is>
      </c>
      <c r="H11" s="12" t="inlineStr">
        <is>
          <t>No</t>
        </is>
      </c>
      <c r="I11" s="12" t="inlineStr">
        <is>
          <t>—</t>
        </is>
      </c>
      <c r="J11" s="12" t="inlineStr">
        <is>
          <t>Modelo</t>
        </is>
      </c>
      <c r="K11" s="12" t="inlineStr">
        <is>
          <t>propio</t>
        </is>
      </c>
      <c r="L11" s="12" t="inlineStr">
        <is>
          <t>— (nuevo)</t>
        </is>
      </c>
      <c r="M11" s="10" t="inlineStr">
        <is>
          <t>Pendiente</t>
        </is>
      </c>
      <c r="N11" s="10" t="n"/>
    </row>
    <row r="12">
      <c r="A12" s="12" t="inlineStr">
        <is>
          <t>M-02</t>
        </is>
      </c>
      <c r="B12" s="12" t="inlineStr">
        <is>
          <t>Centro de costo</t>
        </is>
      </c>
      <c r="C12" s="12" t="n">
        <v>4</v>
      </c>
      <c r="D12" s="11" t="inlineStr">
        <is>
          <t>tipo</t>
        </is>
      </c>
      <c r="E12" s="12" t="inlineStr">
        <is>
          <t>Enumerado</t>
        </is>
      </c>
      <c r="F12" s="12" t="inlineStr">
        <is>
          <t>Sí</t>
        </is>
      </c>
      <c r="G12" s="12" t="inlineStr">
        <is>
          <t>operativo · administrativo · comercial · mantenimiento</t>
        </is>
      </c>
      <c r="H12" s="12" t="inlineStr">
        <is>
          <t>No</t>
        </is>
      </c>
      <c r="I12" s="12" t="inlineStr">
        <is>
          <t>—</t>
        </is>
      </c>
      <c r="J12" s="12" t="inlineStr">
        <is>
          <t>Modelo</t>
        </is>
      </c>
      <c r="K12" s="12" t="inlineStr">
        <is>
          <t>propio</t>
        </is>
      </c>
      <c r="L12" s="12" t="inlineStr">
        <is>
          <t>— (nuevo)</t>
        </is>
      </c>
      <c r="M12" s="10" t="inlineStr">
        <is>
          <t>Pendiente</t>
        </is>
      </c>
      <c r="N12" s="10" t="n"/>
    </row>
    <row r="13">
      <c r="A13" s="12" t="inlineStr">
        <is>
          <t>M-02</t>
        </is>
      </c>
      <c r="B13" s="12" t="inlineStr">
        <is>
          <t>Centro de costo</t>
        </is>
      </c>
      <c r="C13" s="12" t="n">
        <v>5</v>
      </c>
      <c r="D13" s="11" t="inlineStr">
        <is>
          <t>estado</t>
        </is>
      </c>
      <c r="E13" s="12" t="inlineStr">
        <is>
          <t>Enumerado</t>
        </is>
      </c>
      <c r="F13" s="12" t="inlineStr">
        <is>
          <t>Sí</t>
        </is>
      </c>
      <c r="G13" s="12" t="inlineStr">
        <is>
          <t>activo · inactivo</t>
        </is>
      </c>
      <c r="H13" s="12" t="inlineStr">
        <is>
          <t>No</t>
        </is>
      </c>
      <c r="I13" s="12" t="inlineStr">
        <is>
          <t>—</t>
        </is>
      </c>
      <c r="J13" s="12" t="inlineStr">
        <is>
          <t>Modelo</t>
        </is>
      </c>
      <c r="K13" s="12" t="inlineStr">
        <is>
          <t>propio</t>
        </is>
      </c>
      <c r="L13" s="12" t="inlineStr">
        <is>
          <t>— (nuevo)</t>
        </is>
      </c>
      <c r="M13" s="10" t="inlineStr">
        <is>
          <t>Pendiente</t>
        </is>
      </c>
      <c r="N13" s="10" t="n"/>
    </row>
    <row r="14">
      <c r="A14" s="9" t="inlineStr">
        <is>
          <t>M-03</t>
        </is>
      </c>
      <c r="B14" s="9" t="inlineStr">
        <is>
          <t>Cuenta objeto</t>
        </is>
      </c>
      <c r="C14" s="9" t="n">
        <v>1</v>
      </c>
      <c r="D14" s="8" t="inlineStr">
        <is>
          <t>codigo</t>
        </is>
      </c>
      <c r="E14" s="9" t="inlineStr">
        <is>
          <t>Código (20)</t>
        </is>
      </c>
      <c r="F14" s="9" t="inlineStr">
        <is>
          <t>Sí</t>
        </is>
      </c>
      <c r="G14" s="9" t="inlineStr">
        <is>
          <t>—</t>
        </is>
      </c>
      <c r="H14" s="9" t="inlineStr">
        <is>
          <t>No</t>
        </is>
      </c>
      <c r="I14" s="9" t="inlineStr">
        <is>
          <t>—</t>
        </is>
      </c>
      <c r="J14" s="9" t="inlineStr">
        <is>
          <t>Modelo</t>
        </is>
      </c>
      <c r="K14" s="9" t="inlineStr">
        <is>
          <t>propio</t>
        </is>
      </c>
      <c r="L14" s="9" t="inlineStr">
        <is>
          <t>MD-31.codigo</t>
        </is>
      </c>
      <c r="M14" s="10" t="inlineStr">
        <is>
          <t>Pendiente</t>
        </is>
      </c>
      <c r="N14" s="10" t="n"/>
    </row>
    <row r="15" ht="25" customHeight="1">
      <c r="A15" s="16" t="inlineStr">
        <is>
          <t>M-03</t>
        </is>
      </c>
      <c r="B15" s="16" t="inlineStr">
        <is>
          <t>Cuenta objeto</t>
        </is>
      </c>
      <c r="C15" s="16" t="n">
        <v>2</v>
      </c>
      <c r="D15" s="15" t="inlineStr">
        <is>
          <t>nombre</t>
        </is>
      </c>
      <c r="E15" s="16" t="inlineStr">
        <is>
          <t>Texto (120)</t>
        </is>
      </c>
      <c r="F15" s="16" t="inlineStr">
        <is>
          <t>Sí</t>
        </is>
      </c>
      <c r="G15" s="16" t="inlineStr">
        <is>
          <t>—</t>
        </is>
      </c>
      <c r="H15" s="16" t="inlineStr">
        <is>
          <t>No</t>
        </is>
      </c>
      <c r="I15" s="16" t="inlineStr">
        <is>
          <t>—</t>
        </is>
      </c>
      <c r="J15" s="16" t="inlineStr">
        <is>
          <t>Modelo</t>
        </is>
      </c>
      <c r="K15" s="16" t="inlineStr">
        <is>
          <t>propio</t>
        </is>
      </c>
      <c r="L15" s="16" t="inlineStr">
        <is>
          <t>MD-30.nombre · MD-31.nombre</t>
        </is>
      </c>
      <c r="M15" s="10" t="inlineStr">
        <is>
          <t>Pendiente</t>
        </is>
      </c>
      <c r="N15" s="10" t="n"/>
    </row>
    <row r="16">
      <c r="A16" s="12" t="inlineStr">
        <is>
          <t>M-03</t>
        </is>
      </c>
      <c r="B16" s="12" t="inlineStr">
        <is>
          <t>Cuenta objeto</t>
        </is>
      </c>
      <c r="C16" s="12" t="n">
        <v>3</v>
      </c>
      <c r="D16" s="11" t="inlineStr">
        <is>
          <t>centro_costo</t>
        </is>
      </c>
      <c r="E16" s="12" t="inlineStr">
        <is>
          <t>Ref. M-02</t>
        </is>
      </c>
      <c r="F16" s="12" t="inlineStr">
        <is>
          <t>No</t>
        </is>
      </c>
      <c r="G16" s="12" t="inlineStr">
        <is>
          <t>—</t>
        </is>
      </c>
      <c r="H16" s="12" t="inlineStr">
        <is>
          <t>No</t>
        </is>
      </c>
      <c r="I16" s="12" t="inlineStr">
        <is>
          <t>—</t>
        </is>
      </c>
      <c r="J16" s="12" t="inlineStr">
        <is>
          <t>Modelo</t>
        </is>
      </c>
      <c r="K16" s="12" t="inlineStr">
        <is>
          <t>propio</t>
        </is>
      </c>
      <c r="L16" s="12" t="inlineStr">
        <is>
          <t>— (nuevo)</t>
        </is>
      </c>
      <c r="M16" s="10" t="inlineStr">
        <is>
          <t>Pendiente</t>
        </is>
      </c>
      <c r="N16" s="10" t="n"/>
    </row>
    <row r="17" ht="25" customHeight="1">
      <c r="A17" s="16" t="inlineStr">
        <is>
          <t>M-03</t>
        </is>
      </c>
      <c r="B17" s="16" t="inlineStr">
        <is>
          <t>Cuenta objeto</t>
        </is>
      </c>
      <c r="C17" s="16" t="n">
        <v>4</v>
      </c>
      <c r="D17" s="15" t="inlineStr">
        <is>
          <t>tipo</t>
        </is>
      </c>
      <c r="E17" s="16" t="inlineStr">
        <is>
          <t>Enumerado</t>
        </is>
      </c>
      <c r="F17" s="16" t="inlineStr">
        <is>
          <t>Sí</t>
        </is>
      </c>
      <c r="G17" s="16" t="inlineStr">
        <is>
          <t>activo · pasivo · ingreso · costo · gasto · orden · objeto operativo</t>
        </is>
      </c>
      <c r="H17" s="16" t="inlineStr">
        <is>
          <t>No</t>
        </is>
      </c>
      <c r="I17" s="16" t="inlineStr">
        <is>
          <t>—</t>
        </is>
      </c>
      <c r="J17" s="16" t="inlineStr">
        <is>
          <t>Modelo</t>
        </is>
      </c>
      <c r="K17" s="16" t="inlineStr">
        <is>
          <t>propio</t>
        </is>
      </c>
      <c r="L17" s="16" t="inlineStr">
        <is>
          <t>MD-30.tipo · MD-31.tipo</t>
        </is>
      </c>
      <c r="M17" s="10" t="inlineStr">
        <is>
          <t>Pendiente</t>
        </is>
      </c>
      <c r="N17" s="10" t="n"/>
    </row>
    <row r="18">
      <c r="A18" s="9" t="inlineStr">
        <is>
          <t>M-03</t>
        </is>
      </c>
      <c r="B18" s="9" t="inlineStr">
        <is>
          <t>Cuenta objeto</t>
        </is>
      </c>
      <c r="C18" s="9" t="n">
        <v>5</v>
      </c>
      <c r="D18" s="8" t="inlineStr">
        <is>
          <t>estado</t>
        </is>
      </c>
      <c r="E18" s="9" t="inlineStr">
        <is>
          <t>Enumerado</t>
        </is>
      </c>
      <c r="F18" s="9" t="inlineStr">
        <is>
          <t>Sí</t>
        </is>
      </c>
      <c r="G18" s="9" t="inlineStr">
        <is>
          <t>activo · cerrado · inactivo</t>
        </is>
      </c>
      <c r="H18" s="9" t="inlineStr">
        <is>
          <t>No</t>
        </is>
      </c>
      <c r="I18" s="9" t="inlineStr">
        <is>
          <t>—</t>
        </is>
      </c>
      <c r="J18" s="9" t="inlineStr">
        <is>
          <t>Modelo</t>
        </is>
      </c>
      <c r="K18" s="9" t="inlineStr">
        <is>
          <t>propio</t>
        </is>
      </c>
      <c r="L18" s="9" t="inlineStr">
        <is>
          <t>MD-30.estado · MD-31.estado</t>
        </is>
      </c>
      <c r="M18" s="10" t="inlineStr">
        <is>
          <t>Pendiente</t>
        </is>
      </c>
      <c r="N18" s="10" t="n"/>
    </row>
    <row r="19">
      <c r="A19" s="12" t="inlineStr">
        <is>
          <t>M-04</t>
        </is>
      </c>
      <c r="B19" s="12" t="inlineStr">
        <is>
          <t>Tipos de comprobantes</t>
        </is>
      </c>
      <c r="C19" s="12" t="n">
        <v>1</v>
      </c>
      <c r="D19" s="11" t="inlineStr">
        <is>
          <t>codigo</t>
        </is>
      </c>
      <c r="E19" s="12" t="inlineStr">
        <is>
          <t>Código (10)</t>
        </is>
      </c>
      <c r="F19" s="12" t="inlineStr">
        <is>
          <t>Sí</t>
        </is>
      </c>
      <c r="G19" s="12" t="inlineStr">
        <is>
          <t>—</t>
        </is>
      </c>
      <c r="H19" s="12" t="inlineStr">
        <is>
          <t>No</t>
        </is>
      </c>
      <c r="I19" s="12" t="inlineStr">
        <is>
          <t>—</t>
        </is>
      </c>
      <c r="J19" s="12" t="inlineStr">
        <is>
          <t>Modelo</t>
        </is>
      </c>
      <c r="K19" s="12" t="inlineStr">
        <is>
          <t>propio</t>
        </is>
      </c>
      <c r="L19" s="12" t="inlineStr">
        <is>
          <t>— (nuevo)</t>
        </is>
      </c>
      <c r="M19" s="10" t="inlineStr">
        <is>
          <t>Pendiente</t>
        </is>
      </c>
      <c r="N19" s="10" t="n"/>
    </row>
    <row r="20">
      <c r="A20" s="12" t="inlineStr">
        <is>
          <t>M-04</t>
        </is>
      </c>
      <c r="B20" s="12" t="inlineStr">
        <is>
          <t>Tipos de comprobantes</t>
        </is>
      </c>
      <c r="C20" s="12" t="n">
        <v>2</v>
      </c>
      <c r="D20" s="11" t="inlineStr">
        <is>
          <t>nombre</t>
        </is>
      </c>
      <c r="E20" s="12" t="inlineStr">
        <is>
          <t>Texto (80)</t>
        </is>
      </c>
      <c r="F20" s="12" t="inlineStr">
        <is>
          <t>Sí</t>
        </is>
      </c>
      <c r="G20" s="12" t="inlineStr">
        <is>
          <t>—</t>
        </is>
      </c>
      <c r="H20" s="12" t="inlineStr">
        <is>
          <t>No</t>
        </is>
      </c>
      <c r="I20" s="12" t="inlineStr">
        <is>
          <t>—</t>
        </is>
      </c>
      <c r="J20" s="12" t="inlineStr">
        <is>
          <t>Modelo</t>
        </is>
      </c>
      <c r="K20" s="12" t="inlineStr">
        <is>
          <t>propio</t>
        </is>
      </c>
      <c r="L20" s="12" t="inlineStr">
        <is>
          <t>— (nuevo)</t>
        </is>
      </c>
      <c r="M20" s="10" t="inlineStr">
        <is>
          <t>Pendiente</t>
        </is>
      </c>
      <c r="N20" s="10" t="n"/>
    </row>
    <row r="21">
      <c r="A21" s="16" t="inlineStr">
        <is>
          <t>M-04</t>
        </is>
      </c>
      <c r="B21" s="16" t="inlineStr">
        <is>
          <t>Tipos de comprobantes</t>
        </is>
      </c>
      <c r="C21" s="16" t="n">
        <v>3</v>
      </c>
      <c r="D21" s="15" t="inlineStr">
        <is>
          <t>unidad_negocio</t>
        </is>
      </c>
      <c r="E21" s="16" t="inlineStr">
        <is>
          <t>Ref. M-01</t>
        </is>
      </c>
      <c r="F21" s="16" t="inlineStr">
        <is>
          <t>Sí</t>
        </is>
      </c>
      <c r="G21" s="16" t="inlineStr">
        <is>
          <t>—</t>
        </is>
      </c>
      <c r="H21" s="16" t="inlineStr">
        <is>
          <t>No</t>
        </is>
      </c>
      <c r="I21" s="16" t="inlineStr">
        <is>
          <t>—</t>
        </is>
      </c>
      <c r="J21" s="16" t="inlineStr">
        <is>
          <t>Modelo</t>
        </is>
      </c>
      <c r="K21" s="16" t="inlineStr">
        <is>
          <t>propio</t>
        </is>
      </c>
      <c r="L21" s="16" t="inlineStr">
        <is>
          <t>MD-33.sociedad</t>
        </is>
      </c>
      <c r="M21" s="10" t="inlineStr">
        <is>
          <t>Pendiente</t>
        </is>
      </c>
      <c r="N21" s="10" t="n"/>
    </row>
    <row r="22">
      <c r="A22" s="12" t="inlineStr">
        <is>
          <t>M-04</t>
        </is>
      </c>
      <c r="B22" s="12" t="inlineStr">
        <is>
          <t>Tipos de comprobantes</t>
        </is>
      </c>
      <c r="C22" s="12" t="n">
        <v>4</v>
      </c>
      <c r="D22" s="11" t="inlineStr">
        <is>
          <t>centro_costo</t>
        </is>
      </c>
      <c r="E22" s="12" t="inlineStr">
        <is>
          <t>Ref. M-02</t>
        </is>
      </c>
      <c r="F22" s="12" t="inlineStr">
        <is>
          <t>No</t>
        </is>
      </c>
      <c r="G22" s="12" t="inlineStr">
        <is>
          <t>—</t>
        </is>
      </c>
      <c r="H22" s="12" t="inlineStr">
        <is>
          <t>No</t>
        </is>
      </c>
      <c r="I22" s="12" t="inlineStr">
        <is>
          <t>—</t>
        </is>
      </c>
      <c r="J22" s="12" t="inlineStr">
        <is>
          <t>Modelo</t>
        </is>
      </c>
      <c r="K22" s="12" t="inlineStr">
        <is>
          <t>propio</t>
        </is>
      </c>
      <c r="L22" s="12" t="inlineStr">
        <is>
          <t>— (nuevo)</t>
        </is>
      </c>
      <c r="M22" s="10" t="inlineStr">
        <is>
          <t>Pendiente</t>
        </is>
      </c>
      <c r="N22" s="10" t="n"/>
    </row>
    <row r="23">
      <c r="A23" s="12" t="inlineStr">
        <is>
          <t>M-04</t>
        </is>
      </c>
      <c r="B23" s="12" t="inlineStr">
        <is>
          <t>Tipos de comprobantes</t>
        </is>
      </c>
      <c r="C23" s="12" t="n">
        <v>5</v>
      </c>
      <c r="D23" s="11" t="inlineStr">
        <is>
          <t>cuenta_objeto</t>
        </is>
      </c>
      <c r="E23" s="12" t="inlineStr">
        <is>
          <t>Ref. M-03</t>
        </is>
      </c>
      <c r="F23" s="12" t="inlineStr">
        <is>
          <t>No</t>
        </is>
      </c>
      <c r="G23" s="12" t="inlineStr">
        <is>
          <t>—</t>
        </is>
      </c>
      <c r="H23" s="12" t="inlineStr">
        <is>
          <t>No</t>
        </is>
      </c>
      <c r="I23" s="12" t="inlineStr">
        <is>
          <t>—</t>
        </is>
      </c>
      <c r="J23" s="12" t="inlineStr">
        <is>
          <t>Modelo</t>
        </is>
      </c>
      <c r="K23" s="12" t="inlineStr">
        <is>
          <t>propio</t>
        </is>
      </c>
      <c r="L23" s="12" t="inlineStr">
        <is>
          <t>— (nuevo)</t>
        </is>
      </c>
      <c r="M23" s="10" t="inlineStr">
        <is>
          <t>Pendiente</t>
        </is>
      </c>
      <c r="N23" s="10" t="n"/>
    </row>
    <row r="24">
      <c r="A24" s="9" t="inlineStr">
        <is>
          <t>M-04</t>
        </is>
      </c>
      <c r="B24" s="9" t="inlineStr">
        <is>
          <t>Tipos de comprobantes</t>
        </is>
      </c>
      <c r="C24" s="9" t="n">
        <v>6</v>
      </c>
      <c r="D24" s="8" t="inlineStr">
        <is>
          <t>estado</t>
        </is>
      </c>
      <c r="E24" s="9" t="inlineStr">
        <is>
          <t>Enumerado</t>
        </is>
      </c>
      <c r="F24" s="9" t="inlineStr">
        <is>
          <t>Sí</t>
        </is>
      </c>
      <c r="G24" s="9" t="inlineStr">
        <is>
          <t>activo · inactivo</t>
        </is>
      </c>
      <c r="H24" s="9" t="inlineStr">
        <is>
          <t>No</t>
        </is>
      </c>
      <c r="I24" s="9" t="inlineStr">
        <is>
          <t>—</t>
        </is>
      </c>
      <c r="J24" s="9" t="inlineStr">
        <is>
          <t>Modelo</t>
        </is>
      </c>
      <c r="K24" s="9" t="inlineStr">
        <is>
          <t>propio</t>
        </is>
      </c>
      <c r="L24" s="9" t="inlineStr">
        <is>
          <t>MD-33.estado</t>
        </is>
      </c>
      <c r="M24" s="10" t="inlineStr">
        <is>
          <t>Pendiente</t>
        </is>
      </c>
      <c r="N24" s="10" t="n"/>
    </row>
    <row r="25">
      <c r="A25" s="16" t="inlineStr">
        <is>
          <t>M-05</t>
        </is>
      </c>
      <c r="B25" s="16" t="inlineStr">
        <is>
          <t>Áreas</t>
        </is>
      </c>
      <c r="C25" s="16" t="n">
        <v>1</v>
      </c>
      <c r="D25" s="15" t="inlineStr">
        <is>
          <t>codigo</t>
        </is>
      </c>
      <c r="E25" s="16" t="inlineStr">
        <is>
          <t>Código (12)</t>
        </is>
      </c>
      <c r="F25" s="16" t="inlineStr">
        <is>
          <t>Sí</t>
        </is>
      </c>
      <c r="G25" s="16" t="inlineStr">
        <is>
          <t>—</t>
        </is>
      </c>
      <c r="H25" s="16" t="inlineStr">
        <is>
          <t>No</t>
        </is>
      </c>
      <c r="I25" s="16" t="inlineStr">
        <is>
          <t>—</t>
        </is>
      </c>
      <c r="J25" s="16" t="inlineStr">
        <is>
          <t>Modelo</t>
        </is>
      </c>
      <c r="K25" s="16" t="inlineStr">
        <is>
          <t>propio</t>
        </is>
      </c>
      <c r="L25" s="16" t="inlineStr">
        <is>
          <t>MD-24.codigo</t>
        </is>
      </c>
      <c r="M25" s="10" t="inlineStr">
        <is>
          <t>Pendiente</t>
        </is>
      </c>
      <c r="N25" s="10" t="n"/>
    </row>
    <row r="26">
      <c r="A26" s="9" t="inlineStr">
        <is>
          <t>M-05</t>
        </is>
      </c>
      <c r="B26" s="9" t="inlineStr">
        <is>
          <t>Áreas</t>
        </is>
      </c>
      <c r="C26" s="9" t="n">
        <v>2</v>
      </c>
      <c r="D26" s="8" t="inlineStr">
        <is>
          <t>nombre</t>
        </is>
      </c>
      <c r="E26" s="9" t="inlineStr">
        <is>
          <t>Texto (80)</t>
        </is>
      </c>
      <c r="F26" s="9" t="inlineStr">
        <is>
          <t>Sí</t>
        </is>
      </c>
      <c r="G26" s="9" t="inlineStr">
        <is>
          <t>—</t>
        </is>
      </c>
      <c r="H26" s="9" t="inlineStr">
        <is>
          <t>No</t>
        </is>
      </c>
      <c r="I26" s="9" t="inlineStr">
        <is>
          <t>—</t>
        </is>
      </c>
      <c r="J26" s="9" t="inlineStr">
        <is>
          <t>Modelo</t>
        </is>
      </c>
      <c r="K26" s="9" t="inlineStr">
        <is>
          <t>propio</t>
        </is>
      </c>
      <c r="L26" s="9" t="inlineStr">
        <is>
          <t>MD-24.nombre</t>
        </is>
      </c>
      <c r="M26" s="10" t="inlineStr">
        <is>
          <t>Pendiente</t>
        </is>
      </c>
      <c r="N26" s="10" t="n"/>
    </row>
    <row r="27">
      <c r="A27" s="12" t="inlineStr">
        <is>
          <t>M-05</t>
        </is>
      </c>
      <c r="B27" s="12" t="inlineStr">
        <is>
          <t>Áreas</t>
        </is>
      </c>
      <c r="C27" s="12" t="n">
        <v>3</v>
      </c>
      <c r="D27" s="11" t="inlineStr">
        <is>
          <t>unidad_negocio</t>
        </is>
      </c>
      <c r="E27" s="12" t="inlineStr">
        <is>
          <t>Ref. M-01</t>
        </is>
      </c>
      <c r="F27" s="12" t="inlineStr">
        <is>
          <t>Sí</t>
        </is>
      </c>
      <c r="G27" s="12" t="inlineStr">
        <is>
          <t>—</t>
        </is>
      </c>
      <c r="H27" s="12" t="inlineStr">
        <is>
          <t>No</t>
        </is>
      </c>
      <c r="I27" s="12" t="inlineStr">
        <is>
          <t>—</t>
        </is>
      </c>
      <c r="J27" s="12" t="inlineStr">
        <is>
          <t>Modelo</t>
        </is>
      </c>
      <c r="K27" s="12" t="inlineStr">
        <is>
          <t>propio</t>
        </is>
      </c>
      <c r="L27" s="12" t="inlineStr">
        <is>
          <t>— (nuevo)</t>
        </is>
      </c>
      <c r="M27" s="10" t="inlineStr">
        <is>
          <t>Pendiente</t>
        </is>
      </c>
      <c r="N27" s="10" t="n"/>
    </row>
    <row r="28">
      <c r="A28" s="12" t="inlineStr">
        <is>
          <t>M-05</t>
        </is>
      </c>
      <c r="B28" s="12" t="inlineStr">
        <is>
          <t>Áreas</t>
        </is>
      </c>
      <c r="C28" s="12" t="n">
        <v>4</v>
      </c>
      <c r="D28" s="11" t="inlineStr">
        <is>
          <t>tipo</t>
        </is>
      </c>
      <c r="E28" s="12" t="inlineStr">
        <is>
          <t>Enumerado</t>
        </is>
      </c>
      <c r="F28" s="12" t="inlineStr">
        <is>
          <t>Sí</t>
        </is>
      </c>
      <c r="G28" s="12" t="inlineStr">
        <is>
          <t>área · puesto</t>
        </is>
      </c>
      <c r="H28" s="12" t="inlineStr">
        <is>
          <t>No</t>
        </is>
      </c>
      <c r="I28" s="12" t="inlineStr">
        <is>
          <t>—</t>
        </is>
      </c>
      <c r="J28" s="12" t="inlineStr">
        <is>
          <t>Modelo</t>
        </is>
      </c>
      <c r="K28" s="12" t="inlineStr">
        <is>
          <t>propio</t>
        </is>
      </c>
      <c r="L28" s="12" t="inlineStr">
        <is>
          <t>— (nuevo)</t>
        </is>
      </c>
      <c r="M28" s="10" t="inlineStr">
        <is>
          <t>Pendiente</t>
        </is>
      </c>
      <c r="N28" s="10" t="n"/>
    </row>
    <row r="29">
      <c r="A29" s="12" t="inlineStr">
        <is>
          <t>M-05</t>
        </is>
      </c>
      <c r="B29" s="12" t="inlineStr">
        <is>
          <t>Áreas</t>
        </is>
      </c>
      <c r="C29" s="12" t="n">
        <v>6</v>
      </c>
      <c r="D29" s="11" t="inlineStr">
        <is>
          <t>estado</t>
        </is>
      </c>
      <c r="E29" s="12" t="inlineStr">
        <is>
          <t>Enumerado</t>
        </is>
      </c>
      <c r="F29" s="12" t="inlineStr">
        <is>
          <t>Sí</t>
        </is>
      </c>
      <c r="G29" s="12" t="inlineStr">
        <is>
          <t>activo · inactivo</t>
        </is>
      </c>
      <c r="H29" s="12" t="inlineStr">
        <is>
          <t>No</t>
        </is>
      </c>
      <c r="I29" s="12" t="inlineStr">
        <is>
          <t>—</t>
        </is>
      </c>
      <c r="J29" s="12" t="inlineStr">
        <is>
          <t>Modelo</t>
        </is>
      </c>
      <c r="K29" s="12" t="inlineStr">
        <is>
          <t>propio</t>
        </is>
      </c>
      <c r="L29" s="12" t="inlineStr">
        <is>
          <t>— (nuevo)</t>
        </is>
      </c>
      <c r="M29" s="10" t="inlineStr">
        <is>
          <t>Pendiente</t>
        </is>
      </c>
      <c r="N29" s="10" t="n"/>
    </row>
    <row r="30">
      <c r="A30" s="17" t="inlineStr">
        <is>
          <t>M-05</t>
        </is>
      </c>
      <c r="B30" s="17" t="inlineStr">
        <is>
          <t>Áreas</t>
        </is>
      </c>
      <c r="C30" s="17" t="n">
        <v>7</v>
      </c>
      <c r="D30" s="18" t="inlineStr">
        <is>
          <t>area ★</t>
        </is>
      </c>
      <c r="E30" s="17" t="inlineStr">
        <is>
          <t>Ref. M-05</t>
        </is>
      </c>
      <c r="F30" s="17" t="inlineStr">
        <is>
          <t>No</t>
        </is>
      </c>
      <c r="G30" s="17" t="inlineStr">
        <is>
          <t>solo para tipo puesto</t>
        </is>
      </c>
      <c r="H30" s="17" t="inlineStr">
        <is>
          <t>No</t>
        </is>
      </c>
      <c r="I30" s="17" t="inlineStr">
        <is>
          <t>Área a la que pertenece el puesto</t>
        </is>
      </c>
      <c r="J30" s="17" t="inlineStr">
        <is>
          <t>★ Simulador</t>
        </is>
      </c>
      <c r="K30" s="17" t="inlineStr">
        <is>
          <t>propio</t>
        </is>
      </c>
      <c r="L30" s="17" t="inlineStr">
        <is>
          <t>MD-24.area</t>
        </is>
      </c>
      <c r="M30" s="10" t="inlineStr">
        <is>
          <t>Pendiente</t>
        </is>
      </c>
      <c r="N30" s="10" t="n"/>
    </row>
    <row r="31" ht="25" customHeight="1">
      <c r="A31" s="17" t="inlineStr">
        <is>
          <t>M-05</t>
        </is>
      </c>
      <c r="B31" s="17" t="inlineStr">
        <is>
          <t>Áreas</t>
        </is>
      </c>
      <c r="C31" s="17" t="n">
        <v>8</v>
      </c>
      <c r="D31" s="18" t="inlineStr">
        <is>
          <t>dotacion_minima_por_turno ★</t>
        </is>
      </c>
      <c r="E31" s="17" t="inlineStr">
        <is>
          <t>Entero</t>
        </is>
      </c>
      <c r="F31" s="17" t="inlineStr">
        <is>
          <t>No</t>
        </is>
      </c>
      <c r="G31" s="17" t="inlineStr">
        <is>
          <t>≥ 0</t>
        </is>
      </c>
      <c r="H31" s="17" t="inlineStr">
        <is>
          <t>Sí</t>
        </is>
      </c>
      <c r="I31" s="17" t="inlineStr">
        <is>
          <t>Solo puestos: mínimo por turno que valida la planificación</t>
        </is>
      </c>
      <c r="J31" s="17" t="inlineStr">
        <is>
          <t>★ Simulador</t>
        </is>
      </c>
      <c r="K31" s="17" t="inlineStr">
        <is>
          <t>propio</t>
        </is>
      </c>
      <c r="L31" s="17" t="inlineStr">
        <is>
          <t>MD-24.dotacion_minima_por_turno</t>
        </is>
      </c>
      <c r="M31" s="10" t="inlineStr">
        <is>
          <t>Pendiente</t>
        </is>
      </c>
      <c r="N31" s="10" t="n"/>
    </row>
    <row r="32" ht="25" customHeight="1">
      <c r="A32" s="17" t="inlineStr">
        <is>
          <t>M-05</t>
        </is>
      </c>
      <c r="B32" s="17" t="inlineStr">
        <is>
          <t>Áreas</t>
        </is>
      </c>
      <c r="C32" s="17" t="n">
        <v>9</v>
      </c>
      <c r="D32" s="18" t="inlineStr">
        <is>
          <t>costo_horario_referencia ★</t>
        </is>
      </c>
      <c r="E32" s="17" t="inlineStr">
        <is>
          <t>Decimal (12,2)</t>
        </is>
      </c>
      <c r="F32" s="17" t="inlineStr">
        <is>
          <t>No</t>
        </is>
      </c>
      <c r="G32" s="17" t="inlineStr">
        <is>
          <t>&gt; 0</t>
        </is>
      </c>
      <c r="H32" s="17" t="inlineStr">
        <is>
          <t>Sí</t>
        </is>
      </c>
      <c r="I32" s="17" t="inlineStr">
        <is>
          <t>Solo puestos: base del costo de dotación</t>
        </is>
      </c>
      <c r="J32" s="17" t="inlineStr">
        <is>
          <t>★ Simulador</t>
        </is>
      </c>
      <c r="K32" s="17" t="inlineStr">
        <is>
          <t>propio</t>
        </is>
      </c>
      <c r="L32" s="17" t="inlineStr">
        <is>
          <t>MD-24.costo_horario_referencia</t>
        </is>
      </c>
      <c r="M32" s="10" t="inlineStr">
        <is>
          <t>Pendiente</t>
        </is>
      </c>
      <c r="N32" s="10" t="n"/>
    </row>
    <row r="33">
      <c r="A33" s="12" t="inlineStr">
        <is>
          <t>M-05</t>
        </is>
      </c>
      <c r="B33" s="12" t="inlineStr">
        <is>
          <t>Áreas</t>
        </is>
      </c>
      <c r="C33" s="12" t="n">
        <v>5</v>
      </c>
      <c r="D33" s="11" t="inlineStr">
        <is>
          <t>metodo_seguro</t>
        </is>
      </c>
      <c r="E33" s="12" t="inlineStr">
        <is>
          <t>Ref. M-34 (múltiple)</t>
        </is>
      </c>
      <c r="F33" s="12" t="inlineStr">
        <is>
          <t>No</t>
        </is>
      </c>
      <c r="G33" s="12" t="inlineStr">
        <is>
          <t>uno o más MS vigentes</t>
        </is>
      </c>
      <c r="H33" s="12" t="inlineStr">
        <is>
          <t>No</t>
        </is>
      </c>
      <c r="I33" s="12" t="inlineStr">
        <is>
          <t>Solo puestos: método seguro / habilitación de operador exigida al personal del puesto</t>
        </is>
      </c>
      <c r="J33" s="12" t="inlineStr">
        <is>
          <t>Revisión 15/09/2026</t>
        </is>
      </c>
      <c r="K33" s="12" t="inlineStr">
        <is>
          <t>propio</t>
        </is>
      </c>
      <c r="L33" s="12" t="inlineStr">
        <is>
          <t>— (nuevo)</t>
        </is>
      </c>
      <c r="M33" s="10" t="inlineStr">
        <is>
          <t>Pendiente</t>
        </is>
      </c>
      <c r="N33" s="10" t="n"/>
    </row>
    <row r="34" ht="25" customHeight="1">
      <c r="A34" s="16" t="inlineStr">
        <is>
          <t>M-06</t>
        </is>
      </c>
      <c r="B34" s="16" t="inlineStr">
        <is>
          <t>Clientes / Proveedores</t>
        </is>
      </c>
      <c r="C34" s="16" t="n">
        <v>1</v>
      </c>
      <c r="D34" s="15" t="inlineStr">
        <is>
          <t>codigo</t>
        </is>
      </c>
      <c r="E34" s="16" t="inlineStr">
        <is>
          <t>Código (10)</t>
        </is>
      </c>
      <c r="F34" s="16" t="inlineStr">
        <is>
          <t>Sí</t>
        </is>
      </c>
      <c r="G34" s="16" t="inlineStr">
        <is>
          <t>—</t>
        </is>
      </c>
      <c r="H34" s="16" t="inlineStr">
        <is>
          <t>No</t>
        </is>
      </c>
      <c r="I34" s="16" t="inlineStr">
        <is>
          <t>—</t>
        </is>
      </c>
      <c r="J34" s="16" t="inlineStr">
        <is>
          <t>Modelo</t>
        </is>
      </c>
      <c r="K34" s="16" t="inlineStr">
        <is>
          <t>propio</t>
        </is>
      </c>
      <c r="L34" s="16" t="inlineStr">
        <is>
          <t>MD-04.codigo · MD-05.codigo</t>
        </is>
      </c>
      <c r="M34" s="10" t="inlineStr">
        <is>
          <t>Pendiente</t>
        </is>
      </c>
      <c r="N34" s="10" t="n"/>
    </row>
    <row r="35">
      <c r="A35" s="9" t="inlineStr">
        <is>
          <t>M-06</t>
        </is>
      </c>
      <c r="B35" s="9" t="inlineStr">
        <is>
          <t>Clientes / Proveedores</t>
        </is>
      </c>
      <c r="C35" s="9" t="n">
        <v>2</v>
      </c>
      <c r="D35" s="8" t="inlineStr">
        <is>
          <t>razon_social</t>
        </is>
      </c>
      <c r="E35" s="9" t="inlineStr">
        <is>
          <t>Texto (120)</t>
        </is>
      </c>
      <c r="F35" s="9" t="inlineStr">
        <is>
          <t>Sí</t>
        </is>
      </c>
      <c r="G35" s="9" t="inlineStr">
        <is>
          <t>—</t>
        </is>
      </c>
      <c r="H35" s="9" t="inlineStr">
        <is>
          <t>No</t>
        </is>
      </c>
      <c r="I35" s="9" t="inlineStr">
        <is>
          <t>—</t>
        </is>
      </c>
      <c r="J35" s="9" t="inlineStr">
        <is>
          <t>Modelo</t>
        </is>
      </c>
      <c r="K35" s="9" t="inlineStr">
        <is>
          <t>propio</t>
        </is>
      </c>
      <c r="L35" s="9" t="inlineStr">
        <is>
          <t>MD-04.razon_social · MD-05.razon_social</t>
        </is>
      </c>
      <c r="M35" s="10" t="inlineStr">
        <is>
          <t>Pendiente</t>
        </is>
      </c>
      <c r="N35" s="10" t="n"/>
    </row>
    <row r="36">
      <c r="A36" s="16" t="inlineStr">
        <is>
          <t>M-06</t>
        </is>
      </c>
      <c r="B36" s="16" t="inlineStr">
        <is>
          <t>Clientes / Proveedores</t>
        </is>
      </c>
      <c r="C36" s="16" t="n">
        <v>3</v>
      </c>
      <c r="D36" s="15" t="inlineStr">
        <is>
          <t>cuit</t>
        </is>
      </c>
      <c r="E36" s="16" t="inlineStr">
        <is>
          <t>Código (11)</t>
        </is>
      </c>
      <c r="F36" s="16" t="inlineStr">
        <is>
          <t>Sí</t>
        </is>
      </c>
      <c r="G36" s="16" t="inlineStr">
        <is>
          <t>11 dígitos · único</t>
        </is>
      </c>
      <c r="H36" s="16" t="inlineStr">
        <is>
          <t>No</t>
        </is>
      </c>
      <c r="I36" s="16" t="inlineStr">
        <is>
          <t>—</t>
        </is>
      </c>
      <c r="J36" s="16" t="inlineStr">
        <is>
          <t>Modelo</t>
        </is>
      </c>
      <c r="K36" s="16" t="inlineStr">
        <is>
          <t>propio</t>
        </is>
      </c>
      <c r="L36" s="16" t="inlineStr">
        <is>
          <t>MD-04.cuit · MD-05.cuit</t>
        </is>
      </c>
      <c r="M36" s="10" t="inlineStr">
        <is>
          <t>Pendiente</t>
        </is>
      </c>
      <c r="N36" s="10" t="n"/>
    </row>
    <row r="37" ht="37.5" customHeight="1">
      <c r="A37" s="9" t="inlineStr">
        <is>
          <t>M-06</t>
        </is>
      </c>
      <c r="B37" s="9" t="inlineStr">
        <is>
          <t>Clientes / Proveedores</t>
        </is>
      </c>
      <c r="C37" s="9" t="n">
        <v>4</v>
      </c>
      <c r="D37" s="8" t="inlineStr">
        <is>
          <t>tipo</t>
        </is>
      </c>
      <c r="E37" s="9" t="inlineStr">
        <is>
          <t>Enumerado</t>
        </is>
      </c>
      <c r="F37" s="9" t="inlineStr">
        <is>
          <t>Sí</t>
        </is>
      </c>
      <c r="G37" s="9" t="inlineStr">
        <is>
          <t>cliente · proveedor · cliente y proveedor</t>
        </is>
      </c>
      <c r="H37" s="9" t="inlineStr">
        <is>
          <t>No</t>
        </is>
      </c>
      <c r="I37" s="9" t="inlineStr">
        <is>
          <t>—</t>
        </is>
      </c>
      <c r="J37" s="9" t="inlineStr">
        <is>
          <t>Modelo</t>
        </is>
      </c>
      <c r="K37" s="9" t="inlineStr">
        <is>
          <t>propio</t>
        </is>
      </c>
      <c r="L37" s="9" t="inlineStr">
        <is>
          <t>MD-04.tipo</t>
        </is>
      </c>
      <c r="M37" s="10" t="inlineStr">
        <is>
          <t>Pendiente</t>
        </is>
      </c>
      <c r="N37" s="10" t="n"/>
    </row>
    <row r="38">
      <c r="A38" s="16" t="inlineStr">
        <is>
          <t>M-06</t>
        </is>
      </c>
      <c r="B38" s="16" t="inlineStr">
        <is>
          <t>Clientes / Proveedores</t>
        </is>
      </c>
      <c r="C38" s="16" t="n">
        <v>5</v>
      </c>
      <c r="D38" s="15" t="inlineStr">
        <is>
          <t>rubro</t>
        </is>
      </c>
      <c r="E38" s="16" t="inlineStr">
        <is>
          <t>Enumerado (múltiple)</t>
        </is>
      </c>
      <c r="F38" s="16" t="inlineStr">
        <is>
          <t>No</t>
        </is>
      </c>
      <c r="G38" s="16" t="inlineStr">
        <is>
          <t>importador · trader · comprador · transporte · estiba · taller · repuestos · rental · laboratorio · personal eventual · otros</t>
        </is>
      </c>
      <c r="H38" s="16" t="inlineStr">
        <is>
          <t>No</t>
        </is>
      </c>
      <c r="I38" s="16" t="inlineStr">
        <is>
          <t>—</t>
        </is>
      </c>
      <c r="J38" s="16" t="inlineStr">
        <is>
          <t>Modelo</t>
        </is>
      </c>
      <c r="K38" s="16" t="inlineStr">
        <is>
          <t>propio</t>
        </is>
      </c>
      <c r="L38" s="16" t="inlineStr">
        <is>
          <t>MD-05.rubro</t>
        </is>
      </c>
      <c r="M38" s="10" t="inlineStr">
        <is>
          <t>Pendiente</t>
        </is>
      </c>
      <c r="N38" s="10" t="n"/>
    </row>
    <row r="39">
      <c r="A39" s="9" t="inlineStr">
        <is>
          <t>M-06</t>
        </is>
      </c>
      <c r="B39" s="9" t="inlineStr">
        <is>
          <t>Clientes / Proveedores</t>
        </is>
      </c>
      <c r="C39" s="9" t="n">
        <v>6</v>
      </c>
      <c r="D39" s="8" t="inlineStr">
        <is>
          <t>condicion_fiscal</t>
        </is>
      </c>
      <c r="E39" s="9" t="inlineStr">
        <is>
          <t>Enumerado</t>
        </is>
      </c>
      <c r="F39" s="9" t="inlineStr">
        <is>
          <t>Sí</t>
        </is>
      </c>
      <c r="G39" s="9" t="inlineStr">
        <is>
          <t>RI · monotributo · exento · no alcanzado</t>
        </is>
      </c>
      <c r="H39" s="9" t="inlineStr">
        <is>
          <t>No</t>
        </is>
      </c>
      <c r="I39" s="9" t="inlineStr">
        <is>
          <t>—</t>
        </is>
      </c>
      <c r="J39" s="9" t="inlineStr">
        <is>
          <t>Modelo</t>
        </is>
      </c>
      <c r="K39" s="9" t="inlineStr">
        <is>
          <t>propio</t>
        </is>
      </c>
      <c r="L39" s="9" t="inlineStr">
        <is>
          <t>MD-04.condicion_fiscal</t>
        </is>
      </c>
      <c r="M39" s="10" t="inlineStr">
        <is>
          <t>Pendiente</t>
        </is>
      </c>
      <c r="N39" s="10" t="n"/>
    </row>
    <row r="40">
      <c r="A40" s="16" t="inlineStr">
        <is>
          <t>M-06</t>
        </is>
      </c>
      <c r="B40" s="16" t="inlineStr">
        <is>
          <t>Clientes / Proveedores</t>
        </is>
      </c>
      <c r="C40" s="16" t="n">
        <v>7</v>
      </c>
      <c r="D40" s="15" t="inlineStr">
        <is>
          <t>correo</t>
        </is>
      </c>
      <c r="E40" s="16" t="inlineStr">
        <is>
          <t>Texto (120)</t>
        </is>
      </c>
      <c r="F40" s="16" t="inlineStr">
        <is>
          <t>No</t>
        </is>
      </c>
      <c r="G40" s="16" t="inlineStr">
        <is>
          <t>—</t>
        </is>
      </c>
      <c r="H40" s="16" t="inlineStr">
        <is>
          <t>No</t>
        </is>
      </c>
      <c r="I40" s="16" t="inlineStr">
        <is>
          <t>—</t>
        </is>
      </c>
      <c r="J40" s="16" t="inlineStr">
        <is>
          <t>Modelo</t>
        </is>
      </c>
      <c r="K40" s="16" t="inlineStr">
        <is>
          <t>propio</t>
        </is>
      </c>
      <c r="L40" s="16" t="inlineStr">
        <is>
          <t>MD-04.correo_facturacion</t>
        </is>
      </c>
      <c r="M40" s="10" t="inlineStr">
        <is>
          <t>Pendiente</t>
        </is>
      </c>
      <c r="N40" s="10" t="n"/>
    </row>
    <row r="41">
      <c r="A41" s="9" t="inlineStr">
        <is>
          <t>M-06</t>
        </is>
      </c>
      <c r="B41" s="9" t="inlineStr">
        <is>
          <t>Clientes / Proveedores</t>
        </is>
      </c>
      <c r="C41" s="9" t="n">
        <v>8</v>
      </c>
      <c r="D41" s="8" t="inlineStr">
        <is>
          <t>condicion_pago</t>
        </is>
      </c>
      <c r="E41" s="9" t="inlineStr">
        <is>
          <t>Texto (40)</t>
        </is>
      </c>
      <c r="F41" s="9" t="inlineStr">
        <is>
          <t>No</t>
        </is>
      </c>
      <c r="G41" s="9" t="inlineStr">
        <is>
          <t>—</t>
        </is>
      </c>
      <c r="H41" s="9" t="inlineStr">
        <is>
          <t>No</t>
        </is>
      </c>
      <c r="I41" s="9" t="inlineStr">
        <is>
          <t>—</t>
        </is>
      </c>
      <c r="J41" s="9" t="inlineStr">
        <is>
          <t>Modelo</t>
        </is>
      </c>
      <c r="K41" s="9" t="inlineStr">
        <is>
          <t>propio</t>
        </is>
      </c>
      <c r="L41" s="9" t="inlineStr">
        <is>
          <t>MD-04.condicion_pago</t>
        </is>
      </c>
      <c r="M41" s="10" t="inlineStr">
        <is>
          <t>Pendiente</t>
        </is>
      </c>
      <c r="N41" s="10" t="n"/>
    </row>
    <row r="42" ht="25" customHeight="1">
      <c r="A42" s="16" t="inlineStr">
        <is>
          <t>M-06</t>
        </is>
      </c>
      <c r="B42" s="16" t="inlineStr">
        <is>
          <t>Clientes / Proveedores</t>
        </is>
      </c>
      <c r="C42" s="16" t="n">
        <v>9</v>
      </c>
      <c r="D42" s="15" t="inlineStr">
        <is>
          <t>limite_credito</t>
        </is>
      </c>
      <c r="E42" s="16" t="inlineStr">
        <is>
          <t>Decimal (14,2)</t>
        </is>
      </c>
      <c r="F42" s="16" t="inlineStr">
        <is>
          <t>No</t>
        </is>
      </c>
      <c r="G42" s="16" t="inlineStr">
        <is>
          <t>≥ 0</t>
        </is>
      </c>
      <c r="H42" s="16" t="inlineStr">
        <is>
          <t>No</t>
        </is>
      </c>
      <c r="I42" s="16" t="inlineStr">
        <is>
          <t>—</t>
        </is>
      </c>
      <c r="J42" s="16" t="inlineStr">
        <is>
          <t>Modelo</t>
        </is>
      </c>
      <c r="K42" s="16" t="inlineStr">
        <is>
          <t>propio</t>
        </is>
      </c>
      <c r="L42" s="16" t="inlineStr">
        <is>
          <t>MD-04.limite_credito</t>
        </is>
      </c>
      <c r="M42" s="10" t="inlineStr">
        <is>
          <t>Pendiente</t>
        </is>
      </c>
      <c r="N42" s="10" t="n"/>
    </row>
    <row r="43">
      <c r="A43" s="9" t="inlineStr">
        <is>
          <t>M-06</t>
        </is>
      </c>
      <c r="B43" s="9" t="inlineStr">
        <is>
          <t>Clientes / Proveedores</t>
        </is>
      </c>
      <c r="C43" s="9" t="n">
        <v>10</v>
      </c>
      <c r="D43" s="8" t="inlineStr">
        <is>
          <t>estado</t>
        </is>
      </c>
      <c r="E43" s="9" t="inlineStr">
        <is>
          <t>Enumerado</t>
        </is>
      </c>
      <c r="F43" s="9" t="inlineStr">
        <is>
          <t>Sí</t>
        </is>
      </c>
      <c r="G43" s="9" t="inlineStr">
        <is>
          <t>activo · suspendido · inactivo</t>
        </is>
      </c>
      <c r="H43" s="9" t="inlineStr">
        <is>
          <t>No</t>
        </is>
      </c>
      <c r="I43" s="9" t="inlineStr">
        <is>
          <t>—</t>
        </is>
      </c>
      <c r="J43" s="9" t="inlineStr">
        <is>
          <t>Modelo</t>
        </is>
      </c>
      <c r="K43" s="9" t="inlineStr">
        <is>
          <t>propio</t>
        </is>
      </c>
      <c r="L43" s="9" t="inlineStr">
        <is>
          <t>MD-04.estado · MD-05.estado · MD-21.estado</t>
        </is>
      </c>
      <c r="M43" s="10" t="inlineStr">
        <is>
          <t>Pendiente</t>
        </is>
      </c>
      <c r="N43" s="10" t="n"/>
    </row>
    <row r="44" ht="25" customHeight="1">
      <c r="A44" s="16" t="inlineStr">
        <is>
          <t>M-07</t>
        </is>
      </c>
      <c r="B44" s="16" t="inlineStr">
        <is>
          <t>Productos</t>
        </is>
      </c>
      <c r="C44" s="16" t="n">
        <v>1</v>
      </c>
      <c r="D44" s="15" t="inlineStr">
        <is>
          <t>codigo</t>
        </is>
      </c>
      <c r="E44" s="16" t="inlineStr">
        <is>
          <t>Código (10)</t>
        </is>
      </c>
      <c r="F44" s="16" t="inlineStr">
        <is>
          <t>Sí</t>
        </is>
      </c>
      <c r="G44" s="16" t="inlineStr">
        <is>
          <t>—</t>
        </is>
      </c>
      <c r="H44" s="16" t="inlineStr">
        <is>
          <t>No</t>
        </is>
      </c>
      <c r="I44" s="16" t="inlineStr">
        <is>
          <t>—</t>
        </is>
      </c>
      <c r="J44" s="16" t="inlineStr">
        <is>
          <t>Modelo</t>
        </is>
      </c>
      <c r="K44" s="16" t="inlineStr">
        <is>
          <t>propio</t>
        </is>
      </c>
      <c r="L44" s="16" t="inlineStr">
        <is>
          <t>MD-13.codigo · MD-14.codigo</t>
        </is>
      </c>
      <c r="M44" s="10" t="inlineStr">
        <is>
          <t>Pendiente</t>
        </is>
      </c>
      <c r="N44" s="10" t="n"/>
    </row>
    <row r="45" ht="37.5" customHeight="1">
      <c r="A45" s="9" t="inlineStr">
        <is>
          <t>M-07</t>
        </is>
      </c>
      <c r="B45" s="9" t="inlineStr">
        <is>
          <t>Productos</t>
        </is>
      </c>
      <c r="C45" s="9" t="n">
        <v>2</v>
      </c>
      <c r="D45" s="8" t="inlineStr">
        <is>
          <t>nombre</t>
        </is>
      </c>
      <c r="E45" s="9" t="inlineStr">
        <is>
          <t>Texto (80)</t>
        </is>
      </c>
      <c r="F45" s="9" t="inlineStr">
        <is>
          <t>Sí</t>
        </is>
      </c>
      <c r="G45" s="9" t="inlineStr">
        <is>
          <t>—</t>
        </is>
      </c>
      <c r="H45" s="9" t="inlineStr">
        <is>
          <t>No</t>
        </is>
      </c>
      <c r="I45" s="9" t="inlineStr">
        <is>
          <t>—</t>
        </is>
      </c>
      <c r="J45" s="9" t="inlineStr">
        <is>
          <t>Modelo</t>
        </is>
      </c>
      <c r="K45" s="9" t="inlineStr">
        <is>
          <t>propio</t>
        </is>
      </c>
      <c r="L45" s="9" t="inlineStr">
        <is>
          <t>MD-13.nombre · MD-14.nombre</t>
        </is>
      </c>
      <c r="M45" s="10" t="inlineStr">
        <is>
          <t>Pendiente</t>
        </is>
      </c>
      <c r="N45" s="10" t="n"/>
    </row>
    <row r="46" ht="25" customHeight="1">
      <c r="A46" s="16" t="inlineStr">
        <is>
          <t>M-07</t>
        </is>
      </c>
      <c r="B46" s="16" t="inlineStr">
        <is>
          <t>Productos</t>
        </is>
      </c>
      <c r="C46" s="16" t="n">
        <v>3</v>
      </c>
      <c r="D46" s="15" t="inlineStr">
        <is>
          <t>familia</t>
        </is>
      </c>
      <c r="E46" s="16" t="inlineStr">
        <is>
          <t>Enumerado</t>
        </is>
      </c>
      <c r="F46" s="16" t="inlineStr">
        <is>
          <t>Sí</t>
        </is>
      </c>
      <c r="G46" s="16" t="inlineStr">
        <is>
          <t>fertilizante nitrogenado · fertilizante fosforado · fertilizante potásico · fertilizante líquido · embolsado · cereal · mineral / químico</t>
        </is>
      </c>
      <c r="H46" s="16" t="inlineStr">
        <is>
          <t>No</t>
        </is>
      </c>
      <c r="I46" s="16" t="inlineStr">
        <is>
          <t>—</t>
        </is>
      </c>
      <c r="J46" s="16" t="inlineStr">
        <is>
          <t>Modelo</t>
        </is>
      </c>
      <c r="K46" s="16" t="inlineStr">
        <is>
          <t>propio</t>
        </is>
      </c>
      <c r="L46" s="16" t="inlineStr">
        <is>
          <t>MD-14.familia</t>
        </is>
      </c>
      <c r="M46" s="10" t="inlineStr">
        <is>
          <t>Pendiente</t>
        </is>
      </c>
      <c r="N46" s="10" t="n"/>
    </row>
    <row r="47">
      <c r="A47" s="9" t="inlineStr">
        <is>
          <t>M-07</t>
        </is>
      </c>
      <c r="B47" s="9" t="inlineStr">
        <is>
          <t>Productos</t>
        </is>
      </c>
      <c r="C47" s="9" t="n">
        <v>4</v>
      </c>
      <c r="D47" s="8" t="inlineStr">
        <is>
          <t>tipo</t>
        </is>
      </c>
      <c r="E47" s="9" t="inlineStr">
        <is>
          <t>Enumerado</t>
        </is>
      </c>
      <c r="F47" s="9" t="inlineStr">
        <is>
          <t>Sí</t>
        </is>
      </c>
      <c r="G47" s="9" t="inlineStr">
        <is>
          <t>sólido a granel · líquido · embolsado · big bag</t>
        </is>
      </c>
      <c r="H47" s="9" t="inlineStr">
        <is>
          <t>No</t>
        </is>
      </c>
      <c r="I47" s="9" t="inlineStr">
        <is>
          <t>—</t>
        </is>
      </c>
      <c r="J47" s="9" t="inlineStr">
        <is>
          <t>Modelo</t>
        </is>
      </c>
      <c r="K47" s="9" t="inlineStr">
        <is>
          <t>propio</t>
        </is>
      </c>
      <c r="L47" s="9" t="inlineStr">
        <is>
          <t>MD-14.es_liquido · MD-14.es_liquido</t>
        </is>
      </c>
      <c r="M47" s="10" t="inlineStr">
        <is>
          <t>Pendiente</t>
        </is>
      </c>
      <c r="N47" s="10" t="n"/>
    </row>
    <row r="48" ht="62.5" customHeight="1">
      <c r="A48" s="16" t="inlineStr">
        <is>
          <t>M-07</t>
        </is>
      </c>
      <c r="B48" s="16" t="inlineStr">
        <is>
          <t>Productos</t>
        </is>
      </c>
      <c r="C48" s="16" t="n">
        <v>5</v>
      </c>
      <c r="D48" s="15" t="inlineStr">
        <is>
          <t>presentacion</t>
        </is>
      </c>
      <c r="E48" s="16" t="inlineStr">
        <is>
          <t>Enumerado</t>
        </is>
      </c>
      <c r="F48" s="16" t="inlineStr">
        <is>
          <t>Sí</t>
        </is>
      </c>
      <c r="G48" s="16" t="inlineStr">
        <is>
          <t>granel · bolsa · big bag · tanque</t>
        </is>
      </c>
      <c r="H48" s="16" t="inlineStr">
        <is>
          <t>No</t>
        </is>
      </c>
      <c r="I48" s="16" t="inlineStr">
        <is>
          <t>—</t>
        </is>
      </c>
      <c r="J48" s="16" t="inlineStr">
        <is>
          <t>Modelo</t>
        </is>
      </c>
      <c r="K48" s="16" t="inlineStr">
        <is>
          <t>propio</t>
        </is>
      </c>
      <c r="L48" s="16" t="inlineStr">
        <is>
          <t>MD-14.presentacion</t>
        </is>
      </c>
      <c r="M48" s="10" t="inlineStr">
        <is>
          <t>Pendiente</t>
        </is>
      </c>
      <c r="N48" s="10" t="n"/>
    </row>
    <row r="49">
      <c r="A49" s="9" t="inlineStr">
        <is>
          <t>M-07</t>
        </is>
      </c>
      <c r="B49" s="9" t="inlineStr">
        <is>
          <t>Productos</t>
        </is>
      </c>
      <c r="C49" s="9" t="n">
        <v>6</v>
      </c>
      <c r="D49" s="8" t="inlineStr">
        <is>
          <t>regimen_segregacion</t>
        </is>
      </c>
      <c r="E49" s="9" t="inlineStr">
        <is>
          <t>Lógico</t>
        </is>
      </c>
      <c r="F49" s="9" t="inlineStr">
        <is>
          <t>Sí</t>
        </is>
      </c>
      <c r="G49" s="9" t="inlineStr">
        <is>
          <t>V / F</t>
        </is>
      </c>
      <c r="H49" s="9" t="inlineStr">
        <is>
          <t>No</t>
        </is>
      </c>
      <c r="I49" s="9" t="inlineStr">
        <is>
          <t>Si es verdadero no se mezclan orígenes ni calidades en la misma ubicación</t>
        </is>
      </c>
      <c r="J49" s="9" t="inlineStr">
        <is>
          <t>Modelo</t>
        </is>
      </c>
      <c r="K49" s="9" t="inlineStr">
        <is>
          <t>propio</t>
        </is>
      </c>
      <c r="L49" s="9" t="inlineStr">
        <is>
          <t>MD-14.requiere_segregacion_por_origen · MD-14.requiere_segregacion_por_origen</t>
        </is>
      </c>
      <c r="M49" s="10" t="inlineStr">
        <is>
          <t>Pendiente</t>
        </is>
      </c>
      <c r="N49" s="10" t="n"/>
    </row>
    <row r="50">
      <c r="A50" s="16" t="inlineStr">
        <is>
          <t>M-07</t>
        </is>
      </c>
      <c r="B50" s="16" t="inlineStr">
        <is>
          <t>Productos</t>
        </is>
      </c>
      <c r="C50" s="16" t="n">
        <v>7</v>
      </c>
      <c r="D50" s="15" t="inlineStr">
        <is>
          <t>unidad_base</t>
        </is>
      </c>
      <c r="E50" s="16" t="inlineStr">
        <is>
          <t>Enumerado</t>
        </is>
      </c>
      <c r="F50" s="16" t="inlineStr">
        <is>
          <t>Sí</t>
        </is>
      </c>
      <c r="G50" s="16" t="inlineStr">
        <is>
          <t>tonelada · m3 · unidad</t>
        </is>
      </c>
      <c r="H50" s="16" t="inlineStr">
        <is>
          <t>No</t>
        </is>
      </c>
      <c r="I50" s="16" t="inlineStr">
        <is>
          <t>—</t>
        </is>
      </c>
      <c r="J50" s="16" t="inlineStr">
        <is>
          <t>Modelo</t>
        </is>
      </c>
      <c r="K50" s="16" t="inlineStr">
        <is>
          <t>propio</t>
        </is>
      </c>
      <c r="L50" s="16" t="inlineStr">
        <is>
          <t>MD-13.unidad_base</t>
        </is>
      </c>
      <c r="M50" s="10" t="inlineStr">
        <is>
          <t>Pendiente</t>
        </is>
      </c>
      <c r="N50" s="10" t="n"/>
    </row>
    <row r="51">
      <c r="A51" s="12" t="inlineStr">
        <is>
          <t>M-07</t>
        </is>
      </c>
      <c r="B51" s="12" t="inlineStr">
        <is>
          <t>Productos</t>
        </is>
      </c>
      <c r="C51" s="12" t="n">
        <v>8</v>
      </c>
      <c r="D51" s="11" t="inlineStr">
        <is>
          <t>unidad_conversion</t>
        </is>
      </c>
      <c r="E51" s="12" t="inlineStr">
        <is>
          <t>Texto (40)</t>
        </is>
      </c>
      <c r="F51" s="12" t="inlineStr">
        <is>
          <t>No</t>
        </is>
      </c>
      <c r="G51" s="12" t="inlineStr">
        <is>
          <t>ej. 1 big bag = 1,5 tn</t>
        </is>
      </c>
      <c r="H51" s="12" t="inlineStr">
        <is>
          <t>No</t>
        </is>
      </c>
      <c r="I51" s="12" t="inlineStr">
        <is>
          <t>—</t>
        </is>
      </c>
      <c r="J51" s="12" t="inlineStr">
        <is>
          <t>Modelo</t>
        </is>
      </c>
      <c r="K51" s="12" t="inlineStr">
        <is>
          <t>propio</t>
        </is>
      </c>
      <c r="L51" s="12" t="inlineStr">
        <is>
          <t>— (nuevo)</t>
        </is>
      </c>
      <c r="M51" s="10" t="inlineStr">
        <is>
          <t>Pendiente</t>
        </is>
      </c>
      <c r="N51" s="10" t="n"/>
    </row>
    <row r="52">
      <c r="A52" s="16" t="inlineStr">
        <is>
          <t>M-07</t>
        </is>
      </c>
      <c r="B52" s="16" t="inlineStr">
        <is>
          <t>Productos</t>
        </is>
      </c>
      <c r="C52" s="16" t="n">
        <v>9</v>
      </c>
      <c r="D52" s="15" t="inlineStr">
        <is>
          <t>regimen_regulatorio</t>
        </is>
      </c>
      <c r="E52" s="16" t="inlineStr">
        <is>
          <t>Enumerado</t>
        </is>
      </c>
      <c r="F52" s="16" t="inlineStr">
        <is>
          <t>Sí</t>
        </is>
      </c>
      <c r="G52" s="16" t="inlineStr">
        <is>
          <t>ninguno · RENPRE · RENAR · ambos</t>
        </is>
      </c>
      <c r="H52" s="16" t="inlineStr">
        <is>
          <t>No</t>
        </is>
      </c>
      <c r="I52" s="16" t="inlineStr">
        <is>
          <t>—</t>
        </is>
      </c>
      <c r="J52" s="16" t="inlineStr">
        <is>
          <t>Modelo</t>
        </is>
      </c>
      <c r="K52" s="16" t="inlineStr">
        <is>
          <t>propio</t>
        </is>
      </c>
      <c r="L52" s="16" t="inlineStr">
        <is>
          <t>MD-14.regimen_regulatorio</t>
        </is>
      </c>
      <c r="M52" s="10" t="inlineStr">
        <is>
          <t>Pendiente</t>
        </is>
      </c>
      <c r="N52" s="10" t="n"/>
    </row>
    <row r="53">
      <c r="A53" s="9" t="inlineStr">
        <is>
          <t>M-07</t>
        </is>
      </c>
      <c r="B53" s="9" t="inlineStr">
        <is>
          <t>Productos</t>
        </is>
      </c>
      <c r="C53" s="9" t="n">
        <v>10</v>
      </c>
      <c r="D53" s="8" t="inlineStr">
        <is>
          <t>densidad_tn_m3</t>
        </is>
      </c>
      <c r="E53" s="9" t="inlineStr">
        <is>
          <t>Decimal (8,4)</t>
        </is>
      </c>
      <c r="F53" s="9" t="inlineStr">
        <is>
          <t>No</t>
        </is>
      </c>
      <c r="G53" s="9" t="inlineStr">
        <is>
          <t>&gt; 0</t>
        </is>
      </c>
      <c r="H53" s="9" t="inlineStr">
        <is>
          <t>No</t>
        </is>
      </c>
      <c r="I53" s="9" t="inlineStr">
        <is>
          <t>—</t>
        </is>
      </c>
      <c r="J53" s="9" t="inlineStr">
        <is>
          <t>Modelo</t>
        </is>
      </c>
      <c r="K53" s="9" t="inlineStr">
        <is>
          <t>propio</t>
        </is>
      </c>
      <c r="L53" s="9" t="inlineStr">
        <is>
          <t>MD-14.densidad_tn_m3</t>
        </is>
      </c>
      <c r="M53" s="10" t="inlineStr">
        <is>
          <t>Pendiente</t>
        </is>
      </c>
      <c r="N53" s="10" t="n"/>
    </row>
    <row r="54">
      <c r="A54" s="12" t="inlineStr">
        <is>
          <t>M-07</t>
        </is>
      </c>
      <c r="B54" s="12" t="inlineStr">
        <is>
          <t>Productos</t>
        </is>
      </c>
      <c r="C54" s="12" t="n">
        <v>11</v>
      </c>
      <c r="D54" s="11" t="inlineStr">
        <is>
          <t>origen</t>
        </is>
      </c>
      <c r="E54" s="12" t="inlineStr">
        <is>
          <t>Texto (60)</t>
        </is>
      </c>
      <c r="F54" s="12" t="inlineStr">
        <is>
          <t>No</t>
        </is>
      </c>
      <c r="G54" s="12" t="inlineStr">
        <is>
          <t>—</t>
        </is>
      </c>
      <c r="H54" s="12" t="inlineStr">
        <is>
          <t>No</t>
        </is>
      </c>
      <c r="I54" s="12" t="inlineStr">
        <is>
          <t>—</t>
        </is>
      </c>
      <c r="J54" s="12" t="inlineStr">
        <is>
          <t>Modelo</t>
        </is>
      </c>
      <c r="K54" s="12" t="inlineStr">
        <is>
          <t>propio</t>
        </is>
      </c>
      <c r="L54" s="12" t="inlineStr">
        <is>
          <t>— (nuevo)</t>
        </is>
      </c>
      <c r="M54" s="10" t="inlineStr">
        <is>
          <t>Pendiente</t>
        </is>
      </c>
      <c r="N54" s="10" t="n"/>
    </row>
    <row r="55" ht="25" customHeight="1">
      <c r="A55" s="9" t="inlineStr">
        <is>
          <t>M-07</t>
        </is>
      </c>
      <c r="B55" s="9" t="inlineStr">
        <is>
          <t>Productos</t>
        </is>
      </c>
      <c r="C55" s="9" t="n">
        <v>12</v>
      </c>
      <c r="D55" s="8" t="inlineStr">
        <is>
          <t>color_caracteristico</t>
        </is>
      </c>
      <c r="E55" s="9" t="inlineStr">
        <is>
          <t>Texto (40)</t>
        </is>
      </c>
      <c r="F55" s="9" t="inlineStr">
        <is>
          <t>No</t>
        </is>
      </c>
      <c r="G55" s="9" t="inlineStr">
        <is>
          <t>—</t>
        </is>
      </c>
      <c r="H55" s="9" t="inlineStr">
        <is>
          <t>No</t>
        </is>
      </c>
      <c r="I55" s="9" t="inlineStr">
        <is>
          <t>—</t>
        </is>
      </c>
      <c r="J55" s="9" t="inlineStr">
        <is>
          <t>Modelo</t>
        </is>
      </c>
      <c r="K55" s="9" t="inlineStr">
        <is>
          <t>propio</t>
        </is>
      </c>
      <c r="L55" s="9" t="inlineStr">
        <is>
          <t>MD-14.color_caracteristico</t>
        </is>
      </c>
      <c r="M55" s="10" t="inlineStr">
        <is>
          <t>Pendiente</t>
        </is>
      </c>
      <c r="N55" s="10" t="n"/>
    </row>
    <row r="56">
      <c r="A56" s="12" t="inlineStr">
        <is>
          <t>M-07</t>
        </is>
      </c>
      <c r="B56" s="12" t="inlineStr">
        <is>
          <t>Productos</t>
        </is>
      </c>
      <c r="C56" s="12" t="n">
        <v>13</v>
      </c>
      <c r="D56" s="11" t="inlineStr">
        <is>
          <t>tn_por_mano_turno</t>
        </is>
      </c>
      <c r="E56" s="12" t="inlineStr">
        <is>
          <t>Decimal (8,1)</t>
        </is>
      </c>
      <c r="F56" s="12" t="inlineStr">
        <is>
          <t>No</t>
        </is>
      </c>
      <c r="G56" s="12" t="inlineStr">
        <is>
          <t>&gt; 0 · solo sólidos</t>
        </is>
      </c>
      <c r="H56" s="12" t="inlineStr">
        <is>
          <t>Sí</t>
        </is>
      </c>
      <c r="I56" s="12" t="inlineStr">
        <is>
          <t>Dotación de manos de referencia por tonelada: tn que descarga una mano por turno. Alimenta la matriz de manos.</t>
        </is>
      </c>
      <c r="J56" s="12" t="inlineStr">
        <is>
          <t>Modelo</t>
        </is>
      </c>
      <c r="K56" s="12" t="inlineStr">
        <is>
          <t>propio</t>
        </is>
      </c>
      <c r="L56" s="12" t="inlineStr">
        <is>
          <t>— (nuevo)</t>
        </is>
      </c>
      <c r="M56" s="10" t="inlineStr">
        <is>
          <t>Pendiente</t>
        </is>
      </c>
      <c r="N56" s="10" t="n"/>
    </row>
    <row r="57">
      <c r="A57" s="9" t="inlineStr">
        <is>
          <t>M-07</t>
        </is>
      </c>
      <c r="B57" s="9" t="inlineStr">
        <is>
          <t>Productos</t>
        </is>
      </c>
      <c r="C57" s="9" t="n">
        <v>14</v>
      </c>
      <c r="D57" s="8" t="inlineStr">
        <is>
          <t>merma_teorica_pct</t>
        </is>
      </c>
      <c r="E57" s="9" t="inlineStr">
        <is>
          <t>Decimal (5,3)</t>
        </is>
      </c>
      <c r="F57" s="9" t="inlineStr">
        <is>
          <t>Sí</t>
        </is>
      </c>
      <c r="G57" s="9" t="inlineStr">
        <is>
          <t>≥ 0</t>
        </is>
      </c>
      <c r="H57" s="9" t="inlineStr">
        <is>
          <t>Sí</t>
        </is>
      </c>
      <c r="I57" s="9" t="inlineStr">
        <is>
          <t>Referencia contra la merma real</t>
        </is>
      </c>
      <c r="J57" s="9" t="inlineStr">
        <is>
          <t>Modelo</t>
        </is>
      </c>
      <c r="K57" s="9" t="inlineStr">
        <is>
          <t>propio</t>
        </is>
      </c>
      <c r="L57" s="9" t="inlineStr">
        <is>
          <t>MD-13.merma_teorica_pct</t>
        </is>
      </c>
      <c r="M57" s="10" t="inlineStr">
        <is>
          <t>Pendiente</t>
        </is>
      </c>
      <c r="N57" s="10" t="n"/>
    </row>
    <row r="58" ht="37.5" customHeight="1">
      <c r="A58" s="16" t="inlineStr">
        <is>
          <t>M-07</t>
        </is>
      </c>
      <c r="B58" s="16" t="inlineStr">
        <is>
          <t>Productos</t>
        </is>
      </c>
      <c r="C58" s="16" t="n">
        <v>16</v>
      </c>
      <c r="D58" s="15" t="inlineStr">
        <is>
          <t>estado</t>
        </is>
      </c>
      <c r="E58" s="16" t="inlineStr">
        <is>
          <t>Enumerado</t>
        </is>
      </c>
      <c r="F58" s="16" t="inlineStr">
        <is>
          <t>Sí</t>
        </is>
      </c>
      <c r="G58" s="16" t="inlineStr">
        <is>
          <t>activo · discontinuado</t>
        </is>
      </c>
      <c r="H58" s="16" t="inlineStr">
        <is>
          <t>No</t>
        </is>
      </c>
      <c r="I58" s="16" t="inlineStr">
        <is>
          <t>—</t>
        </is>
      </c>
      <c r="J58" s="16" t="inlineStr">
        <is>
          <t>Modelo</t>
        </is>
      </c>
      <c r="K58" s="16" t="inlineStr">
        <is>
          <t>propio</t>
        </is>
      </c>
      <c r="L58" s="16" t="inlineStr">
        <is>
          <t>MD-13.estado · MD-14.estado</t>
        </is>
      </c>
      <c r="M58" s="10" t="inlineStr">
        <is>
          <t>Pendiente</t>
        </is>
      </c>
      <c r="N58" s="10" t="n"/>
    </row>
    <row r="59">
      <c r="A59" s="17" t="inlineStr">
        <is>
          <t>M-07</t>
        </is>
      </c>
      <c r="B59" s="17" t="inlineStr">
        <is>
          <t>Productos</t>
        </is>
      </c>
      <c r="C59" s="17" t="n">
        <v>17</v>
      </c>
      <c r="D59" s="18" t="inlineStr">
        <is>
          <t>permanencia_estadistica_dias ★</t>
        </is>
      </c>
      <c r="E59" s="17" t="inlineStr">
        <is>
          <t>Decimal (8,1)</t>
        </is>
      </c>
      <c r="F59" s="17" t="inlineStr">
        <is>
          <t>No</t>
        </is>
      </c>
      <c r="G59" s="17" t="inlineStr">
        <is>
          <t>≥ 0</t>
        </is>
      </c>
      <c r="H59" s="17" t="inlineStr">
        <is>
          <t>No</t>
        </is>
      </c>
      <c r="I59" s="17" t="inlineStr">
        <is>
          <t>Calculado desde los despachos; alimenta la rotación esperada</t>
        </is>
      </c>
      <c r="J59" s="17" t="inlineStr">
        <is>
          <t>★ Simulador</t>
        </is>
      </c>
      <c r="K59" s="17" t="inlineStr">
        <is>
          <t>calculado</t>
        </is>
      </c>
      <c r="L59" s="17" t="inlineStr">
        <is>
          <t>MD-14.permanencia_estadistica_dias</t>
        </is>
      </c>
      <c r="M59" s="10" t="inlineStr">
        <is>
          <t>Pendiente</t>
        </is>
      </c>
      <c r="N59" s="10" t="n"/>
    </row>
    <row r="60">
      <c r="A60" s="12" t="inlineStr">
        <is>
          <t>M-07</t>
        </is>
      </c>
      <c r="B60" s="12" t="inlineStr">
        <is>
          <t>Productos</t>
        </is>
      </c>
      <c r="C60" s="12" t="n">
        <v>15</v>
      </c>
      <c r="D60" s="11" t="inlineStr">
        <is>
          <t>metodo_seguro</t>
        </is>
      </c>
      <c r="E60" s="12" t="inlineStr">
        <is>
          <t>Ref. M-34 (múltiple)</t>
        </is>
      </c>
      <c r="F60" s="12" t="inlineStr">
        <is>
          <t>Sí</t>
        </is>
      </c>
      <c r="G60" s="12" t="inlineStr">
        <is>
          <t>uno o más MS vigentes</t>
        </is>
      </c>
      <c r="H60" s="12" t="inlineStr">
        <is>
          <t>No</t>
        </is>
      </c>
      <c r="I60" s="12" t="inlineStr">
        <is>
          <t>Método seguro de manipulación del producto (FDS, procedimiento de descarga / acopio). Vencido → el producto no se nomina hasta renovarlo</t>
        </is>
      </c>
      <c r="J60" s="12" t="inlineStr">
        <is>
          <t>Revisión 15/09/2026</t>
        </is>
      </c>
      <c r="K60" s="12" t="inlineStr">
        <is>
          <t>propio</t>
        </is>
      </c>
      <c r="L60" s="12" t="inlineStr">
        <is>
          <t>— (nuevo)</t>
        </is>
      </c>
      <c r="M60" s="10" t="inlineStr">
        <is>
          <t>Pendiente</t>
        </is>
      </c>
      <c r="N60" s="10" t="n"/>
    </row>
    <row r="61">
      <c r="A61" s="16" t="inlineStr">
        <is>
          <t>M-08</t>
        </is>
      </c>
      <c r="B61" s="16" t="inlineStr">
        <is>
          <t>Buques</t>
        </is>
      </c>
      <c r="C61" s="16" t="n">
        <v>1</v>
      </c>
      <c r="D61" s="15" t="inlineStr">
        <is>
          <t>numero_imo</t>
        </is>
      </c>
      <c r="E61" s="16" t="inlineStr">
        <is>
          <t>Código (7)</t>
        </is>
      </c>
      <c r="F61" s="16" t="inlineStr">
        <is>
          <t>Sí</t>
        </is>
      </c>
      <c r="G61" s="16" t="inlineStr">
        <is>
          <t>7 dígitos · único</t>
        </is>
      </c>
      <c r="H61" s="16" t="inlineStr">
        <is>
          <t>No</t>
        </is>
      </c>
      <c r="I61" s="16" t="inlineStr">
        <is>
          <t>—</t>
        </is>
      </c>
      <c r="J61" s="16" t="inlineStr">
        <is>
          <t>Modelo</t>
        </is>
      </c>
      <c r="K61" s="16" t="inlineStr">
        <is>
          <t>propio</t>
        </is>
      </c>
      <c r="L61" s="16" t="inlineStr">
        <is>
          <t>MD-16.numero_imo</t>
        </is>
      </c>
      <c r="M61" s="10" t="inlineStr">
        <is>
          <t>Pendiente</t>
        </is>
      </c>
      <c r="N61" s="10" t="n"/>
    </row>
    <row r="62">
      <c r="A62" s="9" t="inlineStr">
        <is>
          <t>M-08</t>
        </is>
      </c>
      <c r="B62" s="9" t="inlineStr">
        <is>
          <t>Buques</t>
        </is>
      </c>
      <c r="C62" s="9" t="n">
        <v>2</v>
      </c>
      <c r="D62" s="8" t="inlineStr">
        <is>
          <t>nombre</t>
        </is>
      </c>
      <c r="E62" s="9" t="inlineStr">
        <is>
          <t>Texto (80)</t>
        </is>
      </c>
      <c r="F62" s="9" t="inlineStr">
        <is>
          <t>Sí</t>
        </is>
      </c>
      <c r="G62" s="9" t="inlineStr">
        <is>
          <t>—</t>
        </is>
      </c>
      <c r="H62" s="9" t="inlineStr">
        <is>
          <t>No</t>
        </is>
      </c>
      <c r="I62" s="9" t="inlineStr">
        <is>
          <t>—</t>
        </is>
      </c>
      <c r="J62" s="9" t="inlineStr">
        <is>
          <t>Modelo</t>
        </is>
      </c>
      <c r="K62" s="9" t="inlineStr">
        <is>
          <t>propio</t>
        </is>
      </c>
      <c r="L62" s="9" t="inlineStr">
        <is>
          <t>MD-16.nombre</t>
        </is>
      </c>
      <c r="M62" s="10" t="inlineStr">
        <is>
          <t>Pendiente</t>
        </is>
      </c>
      <c r="N62" s="10" t="n"/>
    </row>
    <row r="63">
      <c r="A63" s="16" t="inlineStr">
        <is>
          <t>M-08</t>
        </is>
      </c>
      <c r="B63" s="16" t="inlineStr">
        <is>
          <t>Buques</t>
        </is>
      </c>
      <c r="C63" s="16" t="n">
        <v>3</v>
      </c>
      <c r="D63" s="15" t="inlineStr">
        <is>
          <t>eslora_m</t>
        </is>
      </c>
      <c r="E63" s="16" t="inlineStr">
        <is>
          <t>Decimal (6,2)</t>
        </is>
      </c>
      <c r="F63" s="16" t="inlineStr">
        <is>
          <t>Sí</t>
        </is>
      </c>
      <c r="G63" s="16" t="inlineStr">
        <is>
          <t>&gt; 0</t>
        </is>
      </c>
      <c r="H63" s="16" t="inlineStr">
        <is>
          <t>No</t>
        </is>
      </c>
      <c r="I63" s="16" t="inlineStr">
        <is>
          <t>—</t>
        </is>
      </c>
      <c r="J63" s="16" t="inlineStr">
        <is>
          <t>Modelo</t>
        </is>
      </c>
      <c r="K63" s="16" t="inlineStr">
        <is>
          <t>propio</t>
        </is>
      </c>
      <c r="L63" s="16" t="inlineStr">
        <is>
          <t>MD-16.eslora_m</t>
        </is>
      </c>
      <c r="M63" s="10" t="inlineStr">
        <is>
          <t>Pendiente</t>
        </is>
      </c>
      <c r="N63" s="10" t="n"/>
    </row>
    <row r="64">
      <c r="A64" s="9" t="inlineStr">
        <is>
          <t>M-08</t>
        </is>
      </c>
      <c r="B64" s="9" t="inlineStr">
        <is>
          <t>Buques</t>
        </is>
      </c>
      <c r="C64" s="9" t="n">
        <v>4</v>
      </c>
      <c r="D64" s="8" t="inlineStr">
        <is>
          <t>calado_m</t>
        </is>
      </c>
      <c r="E64" s="9" t="inlineStr">
        <is>
          <t>Decimal (5,2)</t>
        </is>
      </c>
      <c r="F64" s="9" t="inlineStr">
        <is>
          <t>Sí</t>
        </is>
      </c>
      <c r="G64" s="9" t="inlineStr">
        <is>
          <t>&gt; 0</t>
        </is>
      </c>
      <c r="H64" s="9" t="inlineStr">
        <is>
          <t>No</t>
        </is>
      </c>
      <c r="I64" s="9" t="inlineStr">
        <is>
          <t>—</t>
        </is>
      </c>
      <c r="J64" s="9" t="inlineStr">
        <is>
          <t>Modelo</t>
        </is>
      </c>
      <c r="K64" s="9" t="inlineStr">
        <is>
          <t>propio</t>
        </is>
      </c>
      <c r="L64" s="9" t="inlineStr">
        <is>
          <t>MD-16.calado_m</t>
        </is>
      </c>
      <c r="M64" s="10" t="inlineStr">
        <is>
          <t>Pendiente</t>
        </is>
      </c>
      <c r="N64" s="10" t="n"/>
    </row>
    <row r="65">
      <c r="A65" s="16" t="inlineStr">
        <is>
          <t>M-08</t>
        </is>
      </c>
      <c r="B65" s="16" t="inlineStr">
        <is>
          <t>Buques</t>
        </is>
      </c>
      <c r="C65" s="16" t="n">
        <v>5</v>
      </c>
      <c r="D65" s="15" t="inlineStr">
        <is>
          <t>cantidad_bodegas</t>
        </is>
      </c>
      <c r="E65" s="16" t="inlineStr">
        <is>
          <t>Entero</t>
        </is>
      </c>
      <c r="F65" s="16" t="inlineStr">
        <is>
          <t>Sí</t>
        </is>
      </c>
      <c r="G65" s="16" t="inlineStr">
        <is>
          <t>&gt; 0</t>
        </is>
      </c>
      <c r="H65" s="16" t="inlineStr">
        <is>
          <t>No</t>
        </is>
      </c>
      <c r="I65" s="16" t="inlineStr">
        <is>
          <t>—</t>
        </is>
      </c>
      <c r="J65" s="16" t="inlineStr">
        <is>
          <t>Modelo</t>
        </is>
      </c>
      <c r="K65" s="16" t="inlineStr">
        <is>
          <t>propio</t>
        </is>
      </c>
      <c r="L65" s="16" t="inlineStr">
        <is>
          <t>MD-16.cantidad_bodegas</t>
        </is>
      </c>
      <c r="M65" s="10" t="inlineStr">
        <is>
          <t>Pendiente</t>
        </is>
      </c>
      <c r="N65" s="10" t="n"/>
    </row>
    <row r="66">
      <c r="A66" s="9" t="inlineStr">
        <is>
          <t>M-08</t>
        </is>
      </c>
      <c r="B66" s="9" t="inlineStr">
        <is>
          <t>Buques</t>
        </is>
      </c>
      <c r="C66" s="9" t="n">
        <v>6</v>
      </c>
      <c r="D66" s="8" t="inlineStr">
        <is>
          <t>plan_bodegas</t>
        </is>
      </c>
      <c r="E66" s="9" t="inlineStr">
        <is>
          <t>Adjunto</t>
        </is>
      </c>
      <c r="F66" s="9" t="inlineStr">
        <is>
          <t>No</t>
        </is>
      </c>
      <c r="G66" s="9" t="inlineStr">
        <is>
          <t>—</t>
        </is>
      </c>
      <c r="H66" s="9" t="inlineStr">
        <is>
          <t>No</t>
        </is>
      </c>
      <c r="I66" s="9" t="inlineStr">
        <is>
          <t>—</t>
        </is>
      </c>
      <c r="J66" s="9" t="inlineStr">
        <is>
          <t>Modelo</t>
        </is>
      </c>
      <c r="K66" s="9" t="inlineStr">
        <is>
          <t>propio</t>
        </is>
      </c>
      <c r="L66" s="9" t="inlineStr">
        <is>
          <t>MD-16.plan_bodegas</t>
        </is>
      </c>
      <c r="M66" s="10" t="inlineStr">
        <is>
          <t>Pendiente</t>
        </is>
      </c>
      <c r="N66" s="10" t="n"/>
    </row>
    <row r="67">
      <c r="A67" s="16" t="inlineStr">
        <is>
          <t>M-08</t>
        </is>
      </c>
      <c r="B67" s="16" t="inlineStr">
        <is>
          <t>Buques</t>
        </is>
      </c>
      <c r="C67" s="16" t="n">
        <v>7</v>
      </c>
      <c r="D67" s="15" t="inlineStr">
        <is>
          <t>estado</t>
        </is>
      </c>
      <c r="E67" s="16" t="inlineStr">
        <is>
          <t>Enumerado</t>
        </is>
      </c>
      <c r="F67" s="16" t="inlineStr">
        <is>
          <t>Sí</t>
        </is>
      </c>
      <c r="G67" s="16" t="inlineStr">
        <is>
          <t>activo · inactivo</t>
        </is>
      </c>
      <c r="H67" s="16" t="inlineStr">
        <is>
          <t>No</t>
        </is>
      </c>
      <c r="I67" s="16" t="inlineStr">
        <is>
          <t>—</t>
        </is>
      </c>
      <c r="J67" s="16" t="inlineStr">
        <is>
          <t>Modelo</t>
        </is>
      </c>
      <c r="K67" s="16" t="inlineStr">
        <is>
          <t>propio</t>
        </is>
      </c>
      <c r="L67" s="16" t="inlineStr">
        <is>
          <t>MD-16.estado</t>
        </is>
      </c>
      <c r="M67" s="10" t="inlineStr">
        <is>
          <t>Pendiente</t>
        </is>
      </c>
      <c r="N67" s="10" t="n"/>
    </row>
    <row r="68">
      <c r="A68" s="9" t="inlineStr">
        <is>
          <t>M-09</t>
        </is>
      </c>
      <c r="B68" s="9" t="inlineStr">
        <is>
          <t>Plantas</t>
        </is>
      </c>
      <c r="C68" s="9" t="n">
        <v>1</v>
      </c>
      <c r="D68" s="8" t="inlineStr">
        <is>
          <t>codigo</t>
        </is>
      </c>
      <c r="E68" s="9" t="inlineStr">
        <is>
          <t>Código (8)</t>
        </is>
      </c>
      <c r="F68" s="9" t="inlineStr">
        <is>
          <t>Sí</t>
        </is>
      </c>
      <c r="G68" s="9" t="inlineStr">
        <is>
          <t>—</t>
        </is>
      </c>
      <c r="H68" s="9" t="inlineStr">
        <is>
          <t>No</t>
        </is>
      </c>
      <c r="I68" s="9" t="inlineStr">
        <is>
          <t>—</t>
        </is>
      </c>
      <c r="J68" s="9" t="inlineStr">
        <is>
          <t>Modelo</t>
        </is>
      </c>
      <c r="K68" s="9" t="inlineStr">
        <is>
          <t>propio</t>
        </is>
      </c>
      <c r="L68" s="9" t="inlineStr">
        <is>
          <t>MD-02.codigo</t>
        </is>
      </c>
      <c r="M68" s="10" t="inlineStr">
        <is>
          <t>Pendiente</t>
        </is>
      </c>
      <c r="N68" s="10" t="n"/>
    </row>
    <row r="69" ht="37.5" customHeight="1">
      <c r="A69" s="16" t="inlineStr">
        <is>
          <t>M-09</t>
        </is>
      </c>
      <c r="B69" s="16" t="inlineStr">
        <is>
          <t>Plantas</t>
        </is>
      </c>
      <c r="C69" s="16" t="n">
        <v>2</v>
      </c>
      <c r="D69" s="15" t="inlineStr">
        <is>
          <t>nombre</t>
        </is>
      </c>
      <c r="E69" s="16" t="inlineStr">
        <is>
          <t>Texto (80)</t>
        </is>
      </c>
      <c r="F69" s="16" t="inlineStr">
        <is>
          <t>Sí</t>
        </is>
      </c>
      <c r="G69" s="16" t="inlineStr">
        <is>
          <t>—</t>
        </is>
      </c>
      <c r="H69" s="16" t="inlineStr">
        <is>
          <t>No</t>
        </is>
      </c>
      <c r="I69" s="16" t="inlineStr">
        <is>
          <t>—</t>
        </is>
      </c>
      <c r="J69" s="16" t="inlineStr">
        <is>
          <t>Modelo</t>
        </is>
      </c>
      <c r="K69" s="16" t="inlineStr">
        <is>
          <t>propio</t>
        </is>
      </c>
      <c r="L69" s="16" t="inlineStr">
        <is>
          <t>MD-02.nombre</t>
        </is>
      </c>
      <c r="M69" s="10" t="inlineStr">
        <is>
          <t>Pendiente</t>
        </is>
      </c>
      <c r="N69" s="10" t="n"/>
    </row>
    <row r="70">
      <c r="A70" s="9" t="inlineStr">
        <is>
          <t>M-09</t>
        </is>
      </c>
      <c r="B70" s="9" t="inlineStr">
        <is>
          <t>Plantas</t>
        </is>
      </c>
      <c r="C70" s="9" t="n">
        <v>3</v>
      </c>
      <c r="D70" s="8" t="inlineStr">
        <is>
          <t>unidad_negocio</t>
        </is>
      </c>
      <c r="E70" s="9" t="inlineStr">
        <is>
          <t>Ref. M-01</t>
        </is>
      </c>
      <c r="F70" s="9" t="inlineStr">
        <is>
          <t>Sí</t>
        </is>
      </c>
      <c r="G70" s="9" t="inlineStr">
        <is>
          <t>—</t>
        </is>
      </c>
      <c r="H70" s="9" t="inlineStr">
        <is>
          <t>No</t>
        </is>
      </c>
      <c r="I70" s="9" t="inlineStr">
        <is>
          <t>—</t>
        </is>
      </c>
      <c r="J70" s="9" t="inlineStr">
        <is>
          <t>Modelo</t>
        </is>
      </c>
      <c r="K70" s="9" t="inlineStr">
        <is>
          <t>propio</t>
        </is>
      </c>
      <c r="L70" s="9" t="inlineStr">
        <is>
          <t>MD-02.sociedad</t>
        </is>
      </c>
      <c r="M70" s="10" t="inlineStr">
        <is>
          <t>Pendiente</t>
        </is>
      </c>
      <c r="N70" s="10" t="n"/>
    </row>
    <row r="71">
      <c r="A71" s="16" t="inlineStr">
        <is>
          <t>M-09</t>
        </is>
      </c>
      <c r="B71" s="16" t="inlineStr">
        <is>
          <t>Plantas</t>
        </is>
      </c>
      <c r="C71" s="16" t="n">
        <v>4</v>
      </c>
      <c r="D71" s="15" t="inlineStr">
        <is>
          <t>tipo</t>
        </is>
      </c>
      <c r="E71" s="16" t="inlineStr">
        <is>
          <t>Enumerado</t>
        </is>
      </c>
      <c r="F71" s="16" t="inlineStr">
        <is>
          <t>Sí</t>
        </is>
      </c>
      <c r="G71" s="16" t="inlineStr">
        <is>
          <t>propia · satélite propio · satélite de terceros · alquilada · puerto · terminal / puerto externo · planta del grupo</t>
        </is>
      </c>
      <c r="H71" s="16" t="inlineStr">
        <is>
          <t>No</t>
        </is>
      </c>
      <c r="I71" s="16" t="inlineStr">
        <is>
          <t>—</t>
        </is>
      </c>
      <c r="J71" s="16" t="inlineStr">
        <is>
          <t>Modelo</t>
        </is>
      </c>
      <c r="K71" s="16" t="inlineStr">
        <is>
          <t>propio</t>
        </is>
      </c>
      <c r="L71" s="16" t="inlineStr">
        <is>
          <t>MD-02.tipo</t>
        </is>
      </c>
      <c r="M71" s="10" t="inlineStr">
        <is>
          <t>Pendiente</t>
        </is>
      </c>
      <c r="N71" s="10" t="n"/>
    </row>
    <row r="72">
      <c r="A72" s="9" t="inlineStr">
        <is>
          <t>M-09</t>
        </is>
      </c>
      <c r="B72" s="9" t="inlineStr">
        <is>
          <t>Plantas</t>
        </is>
      </c>
      <c r="C72" s="9" t="n">
        <v>5</v>
      </c>
      <c r="D72" s="8" t="inlineStr">
        <is>
          <t>provincia</t>
        </is>
      </c>
      <c r="E72" s="9" t="inlineStr">
        <is>
          <t>Texto (60)</t>
        </is>
      </c>
      <c r="F72" s="9" t="inlineStr">
        <is>
          <t>Sí</t>
        </is>
      </c>
      <c r="G72" s="9" t="inlineStr">
        <is>
          <t>—</t>
        </is>
      </c>
      <c r="H72" s="9" t="inlineStr">
        <is>
          <t>No</t>
        </is>
      </c>
      <c r="I72" s="9" t="inlineStr">
        <is>
          <t>—</t>
        </is>
      </c>
      <c r="J72" s="9" t="inlineStr">
        <is>
          <t>Modelo</t>
        </is>
      </c>
      <c r="K72" s="9" t="inlineStr">
        <is>
          <t>propio</t>
        </is>
      </c>
      <c r="L72" s="9" t="inlineStr">
        <is>
          <t>MD-02.direccion_provincia</t>
        </is>
      </c>
      <c r="M72" s="10" t="inlineStr">
        <is>
          <t>Pendiente</t>
        </is>
      </c>
      <c r="N72" s="10" t="n"/>
    </row>
    <row r="73">
      <c r="A73" s="12" t="inlineStr">
        <is>
          <t>M-09</t>
        </is>
      </c>
      <c r="B73" s="12" t="inlineStr">
        <is>
          <t>Plantas</t>
        </is>
      </c>
      <c r="C73" s="12" t="n">
        <v>6</v>
      </c>
      <c r="D73" s="11" t="inlineStr">
        <is>
          <t>localidad</t>
        </is>
      </c>
      <c r="E73" s="12" t="inlineStr">
        <is>
          <t>Texto (60)</t>
        </is>
      </c>
      <c r="F73" s="12" t="inlineStr">
        <is>
          <t>No</t>
        </is>
      </c>
      <c r="G73" s="12" t="inlineStr">
        <is>
          <t>—</t>
        </is>
      </c>
      <c r="H73" s="12" t="inlineStr">
        <is>
          <t>No</t>
        </is>
      </c>
      <c r="I73" s="12" t="inlineStr">
        <is>
          <t>—</t>
        </is>
      </c>
      <c r="J73" s="12" t="inlineStr">
        <is>
          <t>Modelo</t>
        </is>
      </c>
      <c r="K73" s="12" t="inlineStr">
        <is>
          <t>propio</t>
        </is>
      </c>
      <c r="L73" s="12" t="inlineStr">
        <is>
          <t>— (nuevo)</t>
        </is>
      </c>
      <c r="M73" s="10" t="inlineStr">
        <is>
          <t>Pendiente</t>
        </is>
      </c>
      <c r="N73" s="10" t="n"/>
    </row>
    <row r="74">
      <c r="A74" s="12" t="inlineStr">
        <is>
          <t>M-09</t>
        </is>
      </c>
      <c r="B74" s="12" t="inlineStr">
        <is>
          <t>Plantas</t>
        </is>
      </c>
      <c r="C74" s="12" t="n">
        <v>7</v>
      </c>
      <c r="D74" s="11" t="inlineStr">
        <is>
          <t>codigo_postal</t>
        </is>
      </c>
      <c r="E74" s="12" t="inlineStr">
        <is>
          <t>Código (8)</t>
        </is>
      </c>
      <c r="F74" s="12" t="inlineStr">
        <is>
          <t>No</t>
        </is>
      </c>
      <c r="G74" s="12" t="inlineStr">
        <is>
          <t>—</t>
        </is>
      </c>
      <c r="H74" s="12" t="inlineStr">
        <is>
          <t>No</t>
        </is>
      </c>
      <c r="I74" s="12" t="inlineStr">
        <is>
          <t>—</t>
        </is>
      </c>
      <c r="J74" s="12" t="inlineStr">
        <is>
          <t>Modelo</t>
        </is>
      </c>
      <c r="K74" s="12" t="inlineStr">
        <is>
          <t>propio</t>
        </is>
      </c>
      <c r="L74" s="12" t="inlineStr">
        <is>
          <t>— (nuevo)</t>
        </is>
      </c>
      <c r="M74" s="10" t="inlineStr">
        <is>
          <t>Pendiente</t>
        </is>
      </c>
      <c r="N74" s="10" t="n"/>
    </row>
    <row r="75">
      <c r="A75" s="16" t="inlineStr">
        <is>
          <t>M-09</t>
        </is>
      </c>
      <c r="B75" s="16" t="inlineStr">
        <is>
          <t>Plantas</t>
        </is>
      </c>
      <c r="C75" s="16" t="n">
        <v>8</v>
      </c>
      <c r="D75" s="15" t="inlineStr">
        <is>
          <t>distancia_al_puerto_km</t>
        </is>
      </c>
      <c r="E75" s="16" t="inlineStr">
        <is>
          <t>Decimal (8,2)</t>
        </is>
      </c>
      <c r="F75" s="16" t="inlineStr">
        <is>
          <t>Sí</t>
        </is>
      </c>
      <c r="G75" s="16" t="inlineStr">
        <is>
          <t>≥ 0</t>
        </is>
      </c>
      <c r="H75" s="16" t="inlineStr">
        <is>
          <t>No</t>
        </is>
      </c>
      <c r="I75" s="16" t="inlineStr">
        <is>
          <t>—</t>
        </is>
      </c>
      <c r="J75" s="16" t="inlineStr">
        <is>
          <t>Modelo</t>
        </is>
      </c>
      <c r="K75" s="16" t="inlineStr">
        <is>
          <t>propio</t>
        </is>
      </c>
      <c r="L75" s="16" t="inlineStr">
        <is>
          <t>MD-02.distancia_al_puerto_km</t>
        </is>
      </c>
      <c r="M75" s="10" t="inlineStr">
        <is>
          <t>Pendiente</t>
        </is>
      </c>
      <c r="N75" s="10" t="n"/>
    </row>
    <row r="76">
      <c r="A76" s="9" t="inlineStr">
        <is>
          <t>M-09</t>
        </is>
      </c>
      <c r="B76" s="9" t="inlineStr">
        <is>
          <t>Plantas</t>
        </is>
      </c>
      <c r="C76" s="9" t="n">
        <v>9</v>
      </c>
      <c r="D76" s="8" t="inlineStr">
        <is>
          <t>habilitaciones</t>
        </is>
      </c>
      <c r="E76" s="9" t="inlineStr">
        <is>
          <t>Texto (160)</t>
        </is>
      </c>
      <c r="F76" s="9" t="inlineStr">
        <is>
          <t>No</t>
        </is>
      </c>
      <c r="G76" s="9" t="inlineStr">
        <is>
          <t>—</t>
        </is>
      </c>
      <c r="H76" s="9" t="inlineStr">
        <is>
          <t>No</t>
        </is>
      </c>
      <c r="I76" s="9" t="inlineStr">
        <is>
          <t>—</t>
        </is>
      </c>
      <c r="J76" s="9" t="inlineStr">
        <is>
          <t>Modelo</t>
        </is>
      </c>
      <c r="K76" s="9" t="inlineStr">
        <is>
          <t>propio</t>
        </is>
      </c>
      <c r="L76" s="9" t="inlineStr">
        <is>
          <t>MD-02.habilitaciones</t>
        </is>
      </c>
      <c r="M76" s="10" t="inlineStr">
        <is>
          <t>Pendiente</t>
        </is>
      </c>
      <c r="N76" s="10" t="n"/>
    </row>
    <row r="77">
      <c r="A77" s="12" t="inlineStr">
        <is>
          <t>M-09</t>
        </is>
      </c>
      <c r="B77" s="12" t="inlineStr">
        <is>
          <t>Plantas</t>
        </is>
      </c>
      <c r="C77" s="12" t="n">
        <v>10</v>
      </c>
      <c r="D77" s="11" t="inlineStr">
        <is>
          <t>fecha_habilitacion</t>
        </is>
      </c>
      <c r="E77" s="12" t="inlineStr">
        <is>
          <t>Fecha</t>
        </is>
      </c>
      <c r="F77" s="12" t="inlineStr">
        <is>
          <t>No</t>
        </is>
      </c>
      <c r="G77" s="12" t="inlineStr">
        <is>
          <t>—</t>
        </is>
      </c>
      <c r="H77" s="12" t="inlineStr">
        <is>
          <t>No</t>
        </is>
      </c>
      <c r="I77" s="12" t="inlineStr">
        <is>
          <t>—</t>
        </is>
      </c>
      <c r="J77" s="12" t="inlineStr">
        <is>
          <t>Modelo</t>
        </is>
      </c>
      <c r="K77" s="12" t="inlineStr">
        <is>
          <t>propio</t>
        </is>
      </c>
      <c r="L77" s="12" t="inlineStr">
        <is>
          <t>— (nuevo)</t>
        </is>
      </c>
      <c r="M77" s="10" t="inlineStr">
        <is>
          <t>Pendiente</t>
        </is>
      </c>
      <c r="N77" s="10" t="n"/>
    </row>
    <row r="78">
      <c r="A78" s="9" t="inlineStr">
        <is>
          <t>M-09</t>
        </is>
      </c>
      <c r="B78" s="9" t="inlineStr">
        <is>
          <t>Plantas</t>
        </is>
      </c>
      <c r="C78" s="9" t="n">
        <v>11</v>
      </c>
      <c r="D78" s="8" t="inlineStr">
        <is>
          <t>fecha_vencimiento</t>
        </is>
      </c>
      <c r="E78" s="9" t="inlineStr">
        <is>
          <t>Fecha</t>
        </is>
      </c>
      <c r="F78" s="9" t="inlineStr">
        <is>
          <t>No</t>
        </is>
      </c>
      <c r="G78" s="9" t="inlineStr">
        <is>
          <t>—</t>
        </is>
      </c>
      <c r="H78" s="9" t="inlineStr">
        <is>
          <t>No</t>
        </is>
      </c>
      <c r="I78" s="9" t="inlineStr">
        <is>
          <t>—</t>
        </is>
      </c>
      <c r="J78" s="9" t="inlineStr">
        <is>
          <t>Modelo</t>
        </is>
      </c>
      <c r="K78" s="9" t="inlineStr">
        <is>
          <t>propio</t>
        </is>
      </c>
      <c r="L78" s="9" t="inlineStr">
        <is>
          <t>MD-02.habilitaciones</t>
        </is>
      </c>
      <c r="M78" s="10" t="inlineStr">
        <is>
          <t>Pendiente</t>
        </is>
      </c>
      <c r="N78" s="10" t="n"/>
    </row>
    <row r="79">
      <c r="A79" s="12" t="inlineStr">
        <is>
          <t>M-09</t>
        </is>
      </c>
      <c r="B79" s="12" t="inlineStr">
        <is>
          <t>Plantas</t>
        </is>
      </c>
      <c r="C79" s="12" t="n">
        <v>12</v>
      </c>
      <c r="D79" s="11" t="inlineStr">
        <is>
          <t>accion_al_vencer</t>
        </is>
      </c>
      <c r="E79" s="12" t="inlineStr">
        <is>
          <t>Enumerado</t>
        </is>
      </c>
      <c r="F79" s="12" t="inlineStr">
        <is>
          <t>No</t>
        </is>
      </c>
      <c r="G79" s="12" t="inlineStr">
        <is>
          <t>bloquear operativos nuevos · alertar</t>
        </is>
      </c>
      <c r="H79" s="12" t="inlineStr">
        <is>
          <t>No</t>
        </is>
      </c>
      <c r="I79" s="12" t="inlineStr">
        <is>
          <t>—</t>
        </is>
      </c>
      <c r="J79" s="12" t="inlineStr">
        <is>
          <t>Modelo</t>
        </is>
      </c>
      <c r="K79" s="12" t="inlineStr">
        <is>
          <t>propio</t>
        </is>
      </c>
      <c r="L79" s="12" t="inlineStr">
        <is>
          <t>— (nuevo)</t>
        </is>
      </c>
      <c r="M79" s="10" t="inlineStr">
        <is>
          <t>Pendiente</t>
        </is>
      </c>
      <c r="N79" s="10" t="n"/>
    </row>
    <row r="80" ht="25" customHeight="1">
      <c r="A80" s="9" t="inlineStr">
        <is>
          <t>M-09</t>
        </is>
      </c>
      <c r="B80" s="9" t="inlineStr">
        <is>
          <t>Plantas</t>
        </is>
      </c>
      <c r="C80" s="9" t="n">
        <v>13</v>
      </c>
      <c r="D80" s="8" t="inlineStr">
        <is>
          <t>centro_costo</t>
        </is>
      </c>
      <c r="E80" s="9" t="inlineStr">
        <is>
          <t>Ref. M-02</t>
        </is>
      </c>
      <c r="F80" s="9" t="inlineStr">
        <is>
          <t>Sí</t>
        </is>
      </c>
      <c r="G80" s="9" t="inlineStr">
        <is>
          <t>—</t>
        </is>
      </c>
      <c r="H80" s="9" t="inlineStr">
        <is>
          <t>No</t>
        </is>
      </c>
      <c r="I80" s="9" t="inlineStr">
        <is>
          <t>—</t>
        </is>
      </c>
      <c r="J80" s="9" t="inlineStr">
        <is>
          <t>Modelo</t>
        </is>
      </c>
      <c r="K80" s="9" t="inlineStr">
        <is>
          <t>propio</t>
        </is>
      </c>
      <c r="L80" s="9" t="inlineStr">
        <is>
          <t>MD-02.centro_costo</t>
        </is>
      </c>
      <c r="M80" s="10" t="inlineStr">
        <is>
          <t>Pendiente</t>
        </is>
      </c>
      <c r="N80" s="10" t="n"/>
    </row>
    <row r="81" ht="25" customHeight="1">
      <c r="A81" s="16" t="inlineStr">
        <is>
          <t>M-09</t>
        </is>
      </c>
      <c r="B81" s="16" t="inlineStr">
        <is>
          <t>Plantas</t>
        </is>
      </c>
      <c r="C81" s="16" t="n">
        <v>14</v>
      </c>
      <c r="D81" s="15" t="inlineStr">
        <is>
          <t>estado</t>
        </is>
      </c>
      <c r="E81" s="16" t="inlineStr">
        <is>
          <t>Enumerado</t>
        </is>
      </c>
      <c r="F81" s="16" t="inlineStr">
        <is>
          <t>Sí</t>
        </is>
      </c>
      <c r="G81" s="16" t="inlineStr">
        <is>
          <t>activa · inactiva</t>
        </is>
      </c>
      <c r="H81" s="16" t="inlineStr">
        <is>
          <t>No</t>
        </is>
      </c>
      <c r="I81" s="16" t="inlineStr">
        <is>
          <t>—</t>
        </is>
      </c>
      <c r="J81" s="16" t="inlineStr">
        <is>
          <t>Modelo</t>
        </is>
      </c>
      <c r="K81" s="16" t="inlineStr">
        <is>
          <t>propio</t>
        </is>
      </c>
      <c r="L81" s="16" t="inlineStr">
        <is>
          <t>MD-02.estado</t>
        </is>
      </c>
      <c r="M81" s="10" t="inlineStr">
        <is>
          <t>Pendiente</t>
        </is>
      </c>
      <c r="N81" s="10" t="n"/>
    </row>
    <row r="82">
      <c r="A82" s="17" t="inlineStr">
        <is>
          <t>M-09</t>
        </is>
      </c>
      <c r="B82" s="17" t="inlineStr">
        <is>
          <t>Plantas</t>
        </is>
      </c>
      <c r="C82" s="17" t="n">
        <v>15</v>
      </c>
      <c r="D82" s="18" t="inlineStr">
        <is>
          <t>costo_flete_referencia_tn ★</t>
        </is>
      </c>
      <c r="E82" s="17" t="inlineStr">
        <is>
          <t>Decimal (12,4)</t>
        </is>
      </c>
      <c r="F82" s="17" t="inlineStr">
        <is>
          <t>No</t>
        </is>
      </c>
      <c r="G82" s="17" t="inlineStr">
        <is>
          <t>≥ 0 · USD/tn</t>
        </is>
      </c>
      <c r="H82" s="17" t="inlineStr">
        <is>
          <t>Sí</t>
        </is>
      </c>
      <c r="I82" s="17" t="inlineStr">
        <is>
          <t>Costo de referencia del flete puerto → planta; insumo del costo estimado</t>
        </is>
      </c>
      <c r="J82" s="17" t="inlineStr">
        <is>
          <t>★ Simulador</t>
        </is>
      </c>
      <c r="K82" s="17" t="inlineStr">
        <is>
          <t>propio</t>
        </is>
      </c>
      <c r="L82" s="17" t="inlineStr">
        <is>
          <t>MD-02.costo_flete_referencia_tn</t>
        </is>
      </c>
      <c r="M82" s="10" t="inlineStr">
        <is>
          <t>Pendiente</t>
        </is>
      </c>
      <c r="N82" s="10" t="n"/>
    </row>
    <row r="83">
      <c r="A83" s="17" t="inlineStr">
        <is>
          <t>M-09</t>
        </is>
      </c>
      <c r="B83" s="17" t="inlineStr">
        <is>
          <t>Plantas</t>
        </is>
      </c>
      <c r="C83" s="17" t="n">
        <v>16</v>
      </c>
      <c r="D83" s="18" t="inlineStr">
        <is>
          <t>costo_almacenaje_tn_dia ★</t>
        </is>
      </c>
      <c r="E83" s="17" t="inlineStr">
        <is>
          <t>Decimal (12,4)</t>
        </is>
      </c>
      <c r="F83" s="17" t="inlineStr">
        <is>
          <t>No</t>
        </is>
      </c>
      <c r="G83" s="17" t="inlineStr">
        <is>
          <t>≥ 0 · USD/tn·día</t>
        </is>
      </c>
      <c r="H83" s="17" t="inlineStr">
        <is>
          <t>Sí</t>
        </is>
      </c>
      <c r="I83" s="17" t="inlineStr">
        <is>
          <t>Solo plantas de terceros / alquiladas: la otra mitad del punto de equilibrio flete vs. almacenaje</t>
        </is>
      </c>
      <c r="J83" s="17" t="inlineStr">
        <is>
          <t>★ Simulador</t>
        </is>
      </c>
      <c r="K83" s="17" t="inlineStr">
        <is>
          <t>propio</t>
        </is>
      </c>
      <c r="L83" s="17" t="inlineStr">
        <is>
          <t>MD-02.costo_almacenaje_tn_dia</t>
        </is>
      </c>
      <c r="M83" s="10" t="inlineStr">
        <is>
          <t>Pendiente</t>
        </is>
      </c>
      <c r="N83" s="10" t="n"/>
    </row>
    <row r="84">
      <c r="A84" s="9" t="inlineStr">
        <is>
          <t>M-10</t>
        </is>
      </c>
      <c r="B84" s="9" t="inlineStr">
        <is>
          <t>Depósitos</t>
        </is>
      </c>
      <c r="C84" s="9" t="n">
        <v>1</v>
      </c>
      <c r="D84" s="8" t="inlineStr">
        <is>
          <t>codigo</t>
        </is>
      </c>
      <c r="E84" s="9" t="inlineStr">
        <is>
          <t>Código (10)</t>
        </is>
      </c>
      <c r="F84" s="9" t="inlineStr">
        <is>
          <t>Sí</t>
        </is>
      </c>
      <c r="G84" s="9" t="inlineStr">
        <is>
          <t>—</t>
        </is>
      </c>
      <c r="H84" s="9" t="inlineStr">
        <is>
          <t>No</t>
        </is>
      </c>
      <c r="I84" s="9" t="inlineStr">
        <is>
          <t>—</t>
        </is>
      </c>
      <c r="J84" s="9" t="inlineStr">
        <is>
          <t>Modelo</t>
        </is>
      </c>
      <c r="K84" s="9" t="inlineStr">
        <is>
          <t>propio</t>
        </is>
      </c>
      <c r="L84" s="9" t="inlineStr">
        <is>
          <t>MD-18.codigo</t>
        </is>
      </c>
      <c r="M84" s="10" t="inlineStr">
        <is>
          <t>Pendiente</t>
        </is>
      </c>
      <c r="N84" s="10" t="n"/>
    </row>
    <row r="85">
      <c r="A85" s="16" t="inlineStr">
        <is>
          <t>M-10</t>
        </is>
      </c>
      <c r="B85" s="16" t="inlineStr">
        <is>
          <t>Depósitos</t>
        </is>
      </c>
      <c r="C85" s="16" t="n">
        <v>2</v>
      </c>
      <c r="D85" s="15" t="inlineStr">
        <is>
          <t>nombre</t>
        </is>
      </c>
      <c r="E85" s="16" t="inlineStr">
        <is>
          <t>Texto (60)</t>
        </is>
      </c>
      <c r="F85" s="16" t="inlineStr">
        <is>
          <t>Sí</t>
        </is>
      </c>
      <c r="G85" s="16" t="inlineStr">
        <is>
          <t>—</t>
        </is>
      </c>
      <c r="H85" s="16" t="inlineStr">
        <is>
          <t>No</t>
        </is>
      </c>
      <c r="I85" s="16" t="inlineStr">
        <is>
          <t>—</t>
        </is>
      </c>
      <c r="J85" s="16" t="inlineStr">
        <is>
          <t>Modelo</t>
        </is>
      </c>
      <c r="K85" s="16" t="inlineStr">
        <is>
          <t>propio</t>
        </is>
      </c>
      <c r="L85" s="16" t="inlineStr">
        <is>
          <t>MD-18.nombre</t>
        </is>
      </c>
      <c r="M85" s="10" t="inlineStr">
        <is>
          <t>Pendiente</t>
        </is>
      </c>
      <c r="N85" s="10" t="n"/>
    </row>
    <row r="86">
      <c r="A86" s="9" t="inlineStr">
        <is>
          <t>M-10</t>
        </is>
      </c>
      <c r="B86" s="9" t="inlineStr">
        <is>
          <t>Depósitos</t>
        </is>
      </c>
      <c r="C86" s="9" t="n">
        <v>3</v>
      </c>
      <c r="D86" s="8" t="inlineStr">
        <is>
          <t>planta</t>
        </is>
      </c>
      <c r="E86" s="9" t="inlineStr">
        <is>
          <t>Ref. M-09</t>
        </is>
      </c>
      <c r="F86" s="9" t="inlineStr">
        <is>
          <t>Sí</t>
        </is>
      </c>
      <c r="G86" s="9" t="inlineStr">
        <is>
          <t>—</t>
        </is>
      </c>
      <c r="H86" s="9" t="inlineStr">
        <is>
          <t>No</t>
        </is>
      </c>
      <c r="I86" s="9" t="inlineStr">
        <is>
          <t>—</t>
        </is>
      </c>
      <c r="J86" s="9" t="inlineStr">
        <is>
          <t>Modelo</t>
        </is>
      </c>
      <c r="K86" s="9" t="inlineStr">
        <is>
          <t>propio</t>
        </is>
      </c>
      <c r="L86" s="9" t="inlineStr">
        <is>
          <t>MD-18.planta</t>
        </is>
      </c>
      <c r="M86" s="10" t="inlineStr">
        <is>
          <t>Pendiente</t>
        </is>
      </c>
      <c r="N86" s="10" t="n"/>
    </row>
    <row r="87">
      <c r="A87" s="16" t="inlineStr">
        <is>
          <t>M-10</t>
        </is>
      </c>
      <c r="B87" s="16" t="inlineStr">
        <is>
          <t>Depósitos</t>
        </is>
      </c>
      <c r="C87" s="16" t="n">
        <v>4</v>
      </c>
      <c r="D87" s="15" t="inlineStr">
        <is>
          <t>tipo</t>
        </is>
      </c>
      <c r="E87" s="16" t="inlineStr">
        <is>
          <t>Enumerado</t>
        </is>
      </c>
      <c r="F87" s="16" t="inlineStr">
        <is>
          <t>Sí</t>
        </is>
      </c>
      <c r="G87" s="16" t="inlineStr">
        <is>
          <t>nacional · fiscal · fiscal temporario</t>
        </is>
      </c>
      <c r="H87" s="16" t="inlineStr">
        <is>
          <t>No</t>
        </is>
      </c>
      <c r="I87" s="16" t="inlineStr">
        <is>
          <t>—</t>
        </is>
      </c>
      <c r="J87" s="16" t="inlineStr">
        <is>
          <t>Modelo</t>
        </is>
      </c>
      <c r="K87" s="16" t="inlineStr">
        <is>
          <t>propio</t>
        </is>
      </c>
      <c r="L87" s="16" t="inlineStr">
        <is>
          <t>MD-18.tipo</t>
        </is>
      </c>
      <c r="M87" s="10" t="inlineStr">
        <is>
          <t>Pendiente</t>
        </is>
      </c>
      <c r="N87" s="10" t="n"/>
    </row>
    <row r="88">
      <c r="A88" s="9" t="inlineStr">
        <is>
          <t>M-10</t>
        </is>
      </c>
      <c r="B88" s="9" t="inlineStr">
        <is>
          <t>Depósitos</t>
        </is>
      </c>
      <c r="C88" s="9" t="n">
        <v>5</v>
      </c>
      <c r="D88" s="8" t="inlineStr">
        <is>
          <t>capacidad_total_tn</t>
        </is>
      </c>
      <c r="E88" s="9" t="inlineStr">
        <is>
          <t>Decimal (12,3)</t>
        </is>
      </c>
      <c r="F88" s="9" t="inlineStr">
        <is>
          <t>Sí</t>
        </is>
      </c>
      <c r="G88" s="9" t="inlineStr">
        <is>
          <t>≥ suma de sus celdas y boxes</t>
        </is>
      </c>
      <c r="H88" s="9" t="inlineStr">
        <is>
          <t>No</t>
        </is>
      </c>
      <c r="I88" s="9" t="inlineStr">
        <is>
          <t>—</t>
        </is>
      </c>
      <c r="J88" s="9" t="inlineStr">
        <is>
          <t>Modelo</t>
        </is>
      </c>
      <c r="K88" s="9" t="inlineStr">
        <is>
          <t>propio</t>
        </is>
      </c>
      <c r="L88" s="9" t="inlineStr">
        <is>
          <t>MD-18.capacidad_total_tn</t>
        </is>
      </c>
      <c r="M88" s="10" t="inlineStr">
        <is>
          <t>Pendiente</t>
        </is>
      </c>
      <c r="N88" s="10" t="n"/>
    </row>
    <row r="89">
      <c r="A89" s="12" t="inlineStr">
        <is>
          <t>M-10</t>
        </is>
      </c>
      <c r="B89" s="12" t="inlineStr">
        <is>
          <t>Depósitos</t>
        </is>
      </c>
      <c r="C89" s="12" t="n">
        <v>6</v>
      </c>
      <c r="D89" s="11" t="inlineStr">
        <is>
          <t>productos_aptos</t>
        </is>
      </c>
      <c r="E89" s="12" t="inlineStr">
        <is>
          <t>Ref. M-07 (múltiple)</t>
        </is>
      </c>
      <c r="F89" s="12" t="inlineStr">
        <is>
          <t>No</t>
        </is>
      </c>
      <c r="G89" s="12" t="inlineStr">
        <is>
          <t>vacío = todos</t>
        </is>
      </c>
      <c r="H89" s="12" t="inlineStr">
        <is>
          <t>No</t>
        </is>
      </c>
      <c r="I89" s="12" t="inlineStr">
        <is>
          <t>—</t>
        </is>
      </c>
      <c r="J89" s="12" t="inlineStr">
        <is>
          <t>Modelo</t>
        </is>
      </c>
      <c r="K89" s="12" t="inlineStr">
        <is>
          <t>propio</t>
        </is>
      </c>
      <c r="L89" s="12" t="inlineStr">
        <is>
          <t>— (nuevo)</t>
        </is>
      </c>
      <c r="M89" s="10" t="inlineStr">
        <is>
          <t>Pendiente</t>
        </is>
      </c>
      <c r="N89" s="10" t="n"/>
    </row>
    <row r="90" ht="25" customHeight="1">
      <c r="A90" s="12" t="inlineStr">
        <is>
          <t>M-10</t>
        </is>
      </c>
      <c r="B90" s="12" t="inlineStr">
        <is>
          <t>Depósitos</t>
        </is>
      </c>
      <c r="C90" s="12" t="n">
        <v>7</v>
      </c>
      <c r="D90" s="11" t="inlineStr">
        <is>
          <t>habilitacion</t>
        </is>
      </c>
      <c r="E90" s="12" t="inlineStr">
        <is>
          <t>Texto (60)</t>
        </is>
      </c>
      <c r="F90" s="12" t="inlineStr">
        <is>
          <t>No</t>
        </is>
      </c>
      <c r="G90" s="12" t="inlineStr">
        <is>
          <t>municipal / bomberos / ambiental</t>
        </is>
      </c>
      <c r="H90" s="12" t="inlineStr">
        <is>
          <t>No</t>
        </is>
      </c>
      <c r="I90" s="12" t="inlineStr">
        <is>
          <t>—</t>
        </is>
      </c>
      <c r="J90" s="12" t="inlineStr">
        <is>
          <t>Modelo</t>
        </is>
      </c>
      <c r="K90" s="12" t="inlineStr">
        <is>
          <t>propio</t>
        </is>
      </c>
      <c r="L90" s="12" t="inlineStr">
        <is>
          <t>— (nuevo)</t>
        </is>
      </c>
      <c r="M90" s="10" t="inlineStr">
        <is>
          <t>Pendiente</t>
        </is>
      </c>
      <c r="N90" s="10" t="n"/>
    </row>
    <row r="91" ht="26" customHeight="1">
      <c r="A91" s="16" t="inlineStr">
        <is>
          <t>M-10</t>
        </is>
      </c>
      <c r="B91" s="16" t="inlineStr">
        <is>
          <t>Depósitos</t>
        </is>
      </c>
      <c r="C91" s="16" t="n">
        <v>8</v>
      </c>
      <c r="D91" s="15" t="inlineStr">
        <is>
          <t>habilitacion_aduanera</t>
        </is>
      </c>
      <c r="E91" s="16" t="inlineStr">
        <is>
          <t>Código + Fecha</t>
        </is>
      </c>
      <c r="F91" s="16" t="inlineStr">
        <is>
          <t>Condicional</t>
        </is>
      </c>
      <c r="G91" s="16" t="inlineStr">
        <is>
          <t>obligatoria si es fiscal</t>
        </is>
      </c>
      <c r="H91" s="16" t="inlineStr">
        <is>
          <t>No</t>
        </is>
      </c>
      <c r="I91" s="16" t="inlineStr">
        <is>
          <t>—</t>
        </is>
      </c>
      <c r="J91" s="16" t="inlineStr">
        <is>
          <t>Modelo</t>
        </is>
      </c>
      <c r="K91" s="16" t="inlineStr">
        <is>
          <t>propio</t>
        </is>
      </c>
      <c r="L91" s="16" t="inlineStr">
        <is>
          <t>MD-18.habilitacion_aduanera</t>
        </is>
      </c>
      <c r="M91" s="10" t="inlineStr">
        <is>
          <t>Pendiente</t>
        </is>
      </c>
      <c r="N91" s="10" t="n"/>
    </row>
    <row r="92">
      <c r="A92" s="9" t="inlineStr">
        <is>
          <t>M-10</t>
        </is>
      </c>
      <c r="B92" s="9" t="inlineStr">
        <is>
          <t>Depósitos</t>
        </is>
      </c>
      <c r="C92" s="9" t="n">
        <v>9</v>
      </c>
      <c r="D92" s="8" t="inlineStr">
        <is>
          <t>habilitaciones_regulatorias</t>
        </is>
      </c>
      <c r="E92" s="9" t="inlineStr">
        <is>
          <t>Texto (120)</t>
        </is>
      </c>
      <c r="F92" s="9" t="inlineStr">
        <is>
          <t>No</t>
        </is>
      </c>
      <c r="G92" s="9" t="inlineStr">
        <is>
          <t>RENPRE → fecha · RENAR → fecha</t>
        </is>
      </c>
      <c r="H92" s="9" t="inlineStr">
        <is>
          <t>No</t>
        </is>
      </c>
      <c r="I92" s="9" t="inlineStr">
        <is>
          <t>—</t>
        </is>
      </c>
      <c r="J92" s="9" t="inlineStr">
        <is>
          <t>Modelo</t>
        </is>
      </c>
      <c r="K92" s="9" t="inlineStr">
        <is>
          <t>propio</t>
        </is>
      </c>
      <c r="L92" s="9" t="inlineStr">
        <is>
          <t>MD-18.habilitaciones_regulatorias</t>
        </is>
      </c>
      <c r="M92" s="10" t="inlineStr">
        <is>
          <t>Pendiente</t>
        </is>
      </c>
      <c r="N92" s="10" t="n"/>
    </row>
    <row r="93" ht="37.5" customHeight="1">
      <c r="A93" s="12" t="inlineStr">
        <is>
          <t>M-10</t>
        </is>
      </c>
      <c r="B93" s="12" t="inlineStr">
        <is>
          <t>Depósitos</t>
        </is>
      </c>
      <c r="C93" s="12" t="n">
        <v>10</v>
      </c>
      <c r="D93" s="11" t="inlineStr">
        <is>
          <t>fecha_vencimiento_habilitaciones</t>
        </is>
      </c>
      <c r="E93" s="12" t="inlineStr">
        <is>
          <t>Fecha</t>
        </is>
      </c>
      <c r="F93" s="12" t="inlineStr">
        <is>
          <t>No</t>
        </is>
      </c>
      <c r="G93" s="12" t="inlineStr">
        <is>
          <t>—</t>
        </is>
      </c>
      <c r="H93" s="12" t="inlineStr">
        <is>
          <t>No</t>
        </is>
      </c>
      <c r="I93" s="12" t="inlineStr">
        <is>
          <t>—</t>
        </is>
      </c>
      <c r="J93" s="12" t="inlineStr">
        <is>
          <t>Modelo</t>
        </is>
      </c>
      <c r="K93" s="12" t="inlineStr">
        <is>
          <t>propio</t>
        </is>
      </c>
      <c r="L93" s="12" t="inlineStr">
        <is>
          <t>— (nuevo)</t>
        </is>
      </c>
      <c r="M93" s="10" t="inlineStr">
        <is>
          <t>Pendiente</t>
        </is>
      </c>
      <c r="N93" s="10" t="n"/>
    </row>
    <row r="94">
      <c r="A94" s="9" t="inlineStr">
        <is>
          <t>M-10</t>
        </is>
      </c>
      <c r="B94" s="9" t="inlineStr">
        <is>
          <t>Depósitos</t>
        </is>
      </c>
      <c r="C94" s="9" t="n">
        <v>11</v>
      </c>
      <c r="D94" s="8" t="inlineStr">
        <is>
          <t>dias_alerta</t>
        </is>
      </c>
      <c r="E94" s="9" t="inlineStr">
        <is>
          <t>Entero</t>
        </is>
      </c>
      <c r="F94" s="9" t="inlineStr">
        <is>
          <t>Sí</t>
        </is>
      </c>
      <c r="G94" s="9" t="inlineStr">
        <is>
          <t>90 · 60 · 30 · 15</t>
        </is>
      </c>
      <c r="H94" s="9" t="inlineStr">
        <is>
          <t>Sí</t>
        </is>
      </c>
      <c r="I94" s="9" t="inlineStr">
        <is>
          <t>—</t>
        </is>
      </c>
      <c r="J94" s="9" t="inlineStr">
        <is>
          <t>Modelo</t>
        </is>
      </c>
      <c r="K94" s="9" t="inlineStr">
        <is>
          <t>propio</t>
        </is>
      </c>
      <c r="L94" s="9" t="inlineStr">
        <is>
          <t>MD-18.dias_alerta</t>
        </is>
      </c>
      <c r="M94" s="10" t="inlineStr">
        <is>
          <t>Pendiente</t>
        </is>
      </c>
      <c r="N94" s="10" t="n"/>
    </row>
    <row r="95" ht="25" customHeight="1">
      <c r="A95" s="16" t="inlineStr">
        <is>
          <t>M-10</t>
        </is>
      </c>
      <c r="B95" s="16" t="inlineStr">
        <is>
          <t>Depósitos</t>
        </is>
      </c>
      <c r="C95" s="16" t="n">
        <v>12</v>
      </c>
      <c r="D95" s="15" t="inlineStr">
        <is>
          <t>accion_al_vencer</t>
        </is>
      </c>
      <c r="E95" s="16" t="inlineStr">
        <is>
          <t>Enumerado</t>
        </is>
      </c>
      <c r="F95" s="16" t="inlineStr">
        <is>
          <t>Sí</t>
        </is>
      </c>
      <c r="G95" s="16" t="inlineStr">
        <is>
          <t>bloquear ingreso al régimen · alertar</t>
        </is>
      </c>
      <c r="H95" s="16" t="inlineStr">
        <is>
          <t>No</t>
        </is>
      </c>
      <c r="I95" s="16" t="inlineStr">
        <is>
          <t>—</t>
        </is>
      </c>
      <c r="J95" s="16" t="inlineStr">
        <is>
          <t>Modelo</t>
        </is>
      </c>
      <c r="K95" s="16" t="inlineStr">
        <is>
          <t>propio</t>
        </is>
      </c>
      <c r="L95" s="16" t="inlineStr">
        <is>
          <t>MD-18.accion_al_vencer_habilitacion</t>
        </is>
      </c>
      <c r="M95" s="10" t="inlineStr">
        <is>
          <t>Pendiente</t>
        </is>
      </c>
      <c r="N95" s="10" t="n"/>
    </row>
    <row r="96" ht="25" customHeight="1">
      <c r="A96" s="9" t="inlineStr">
        <is>
          <t>M-10</t>
        </is>
      </c>
      <c r="B96" s="9" t="inlineStr">
        <is>
          <t>Depósitos</t>
        </is>
      </c>
      <c r="C96" s="9" t="n">
        <v>14</v>
      </c>
      <c r="D96" s="8" t="inlineStr">
        <is>
          <t>estado</t>
        </is>
      </c>
      <c r="E96" s="9" t="inlineStr">
        <is>
          <t>Enumerado</t>
        </is>
      </c>
      <c r="F96" s="9" t="inlineStr">
        <is>
          <t>Sí</t>
        </is>
      </c>
      <c r="G96" s="9" t="inlineStr">
        <is>
          <t>activo · inactivo</t>
        </is>
      </c>
      <c r="H96" s="9" t="inlineStr">
        <is>
          <t>No</t>
        </is>
      </c>
      <c r="I96" s="9" t="inlineStr">
        <is>
          <t>—</t>
        </is>
      </c>
      <c r="J96" s="9" t="inlineStr">
        <is>
          <t>Modelo</t>
        </is>
      </c>
      <c r="K96" s="9" t="inlineStr">
        <is>
          <t>propio</t>
        </is>
      </c>
      <c r="L96" s="9" t="inlineStr">
        <is>
          <t>MD-18.estado</t>
        </is>
      </c>
      <c r="M96" s="10" t="inlineStr">
        <is>
          <t>Pendiente</t>
        </is>
      </c>
      <c r="N96" s="10" t="n"/>
    </row>
    <row r="97" ht="25" customHeight="1">
      <c r="A97" s="12" t="inlineStr">
        <is>
          <t>M-10</t>
        </is>
      </c>
      <c r="B97" s="12" t="inlineStr">
        <is>
          <t>Depósitos</t>
        </is>
      </c>
      <c r="C97" s="12" t="n">
        <v>13</v>
      </c>
      <c r="D97" s="11" t="inlineStr">
        <is>
          <t>metodo_seguro</t>
        </is>
      </c>
      <c r="E97" s="12" t="inlineStr">
        <is>
          <t>Ref. M-34 (múltiple)</t>
        </is>
      </c>
      <c r="F97" s="12" t="inlineStr">
        <is>
          <t>Sí</t>
        </is>
      </c>
      <c r="G97" s="12" t="inlineStr">
        <is>
          <t>uno o más MS vigentes</t>
        </is>
      </c>
      <c r="H97" s="12" t="inlineStr">
        <is>
          <t>No</t>
        </is>
      </c>
      <c r="I97" s="12" t="inlineStr">
        <is>
          <t>Método seguro de operación del depósito (acopio, segregación, emergencias). Vencido → sin disponibilidad</t>
        </is>
      </c>
      <c r="J97" s="12" t="inlineStr">
        <is>
          <t>Revisión 15/09/2026</t>
        </is>
      </c>
      <c r="K97" s="12" t="inlineStr">
        <is>
          <t>propio</t>
        </is>
      </c>
      <c r="L97" s="12" t="inlineStr">
        <is>
          <t>— (nuevo)</t>
        </is>
      </c>
      <c r="M97" s="10" t="inlineStr">
        <is>
          <t>Pendiente</t>
        </is>
      </c>
      <c r="N97" s="10" t="n"/>
    </row>
    <row r="98" ht="25" customHeight="1">
      <c r="A98" s="16" t="inlineStr">
        <is>
          <t>M-10a</t>
        </is>
      </c>
      <c r="B98" s="16" t="inlineStr">
        <is>
          <t>Celdas · boxes · tanques (detalle de Depósitos)</t>
        </is>
      </c>
      <c r="C98" s="16" t="n">
        <v>1</v>
      </c>
      <c r="D98" s="15" t="inlineStr">
        <is>
          <t>codigo</t>
        </is>
      </c>
      <c r="E98" s="16" t="inlineStr">
        <is>
          <t>Código (10)</t>
        </is>
      </c>
      <c r="F98" s="16" t="inlineStr">
        <is>
          <t>Sí</t>
        </is>
      </c>
      <c r="G98" s="16" t="inlineStr">
        <is>
          <t>—</t>
        </is>
      </c>
      <c r="H98" s="16" t="inlineStr">
        <is>
          <t>No</t>
        </is>
      </c>
      <c r="I98" s="16" t="inlineStr">
        <is>
          <t>—</t>
        </is>
      </c>
      <c r="J98" s="16" t="inlineStr">
        <is>
          <t>Modelo</t>
        </is>
      </c>
      <c r="K98" s="16" t="inlineStr">
        <is>
          <t>propio</t>
        </is>
      </c>
      <c r="L98" s="16" t="inlineStr">
        <is>
          <t>MD-19.codigo</t>
        </is>
      </c>
      <c r="M98" s="10" t="inlineStr">
        <is>
          <t>Pendiente</t>
        </is>
      </c>
      <c r="N98" s="10" t="n"/>
    </row>
    <row r="99" ht="25" customHeight="1">
      <c r="A99" s="12" t="inlineStr">
        <is>
          <t>M-10a</t>
        </is>
      </c>
      <c r="B99" s="12" t="inlineStr">
        <is>
          <t>Celdas · boxes · tanques (detalle de Depósitos)</t>
        </is>
      </c>
      <c r="C99" s="12" t="n">
        <v>2</v>
      </c>
      <c r="D99" s="11" t="inlineStr">
        <is>
          <t>nombre</t>
        </is>
      </c>
      <c r="E99" s="12" t="inlineStr">
        <is>
          <t>Texto (60)</t>
        </is>
      </c>
      <c r="F99" s="12" t="inlineStr">
        <is>
          <t>No</t>
        </is>
      </c>
      <c r="G99" s="12" t="inlineStr">
        <is>
          <t>—</t>
        </is>
      </c>
      <c r="H99" s="12" t="inlineStr">
        <is>
          <t>No</t>
        </is>
      </c>
      <c r="I99" s="12" t="inlineStr">
        <is>
          <t>—</t>
        </is>
      </c>
      <c r="J99" s="12" t="inlineStr">
        <is>
          <t>Modelo</t>
        </is>
      </c>
      <c r="K99" s="12" t="inlineStr">
        <is>
          <t>propio</t>
        </is>
      </c>
      <c r="L99" s="12" t="inlineStr">
        <is>
          <t>— (nuevo)</t>
        </is>
      </c>
      <c r="M99" s="10" t="inlineStr">
        <is>
          <t>Pendiente</t>
        </is>
      </c>
      <c r="N99" s="10" t="n"/>
    </row>
    <row r="100" ht="25" customHeight="1">
      <c r="A100" s="16" t="inlineStr">
        <is>
          <t>M-10a</t>
        </is>
      </c>
      <c r="B100" s="16" t="inlineStr">
        <is>
          <t>Celdas · boxes · tanques (detalle de Depósitos)</t>
        </is>
      </c>
      <c r="C100" s="16" t="n">
        <v>3</v>
      </c>
      <c r="D100" s="15" t="inlineStr">
        <is>
          <t>deposito</t>
        </is>
      </c>
      <c r="E100" s="16" t="inlineStr">
        <is>
          <t>Ref. M-10</t>
        </is>
      </c>
      <c r="F100" s="16" t="inlineStr">
        <is>
          <t>Sí</t>
        </is>
      </c>
      <c r="G100" s="16" t="inlineStr">
        <is>
          <t>—</t>
        </is>
      </c>
      <c r="H100" s="16" t="inlineStr">
        <is>
          <t>No</t>
        </is>
      </c>
      <c r="I100" s="16" t="inlineStr">
        <is>
          <t>—</t>
        </is>
      </c>
      <c r="J100" s="16" t="inlineStr">
        <is>
          <t>Modelo</t>
        </is>
      </c>
      <c r="K100" s="16" t="inlineStr">
        <is>
          <t>propio</t>
        </is>
      </c>
      <c r="L100" s="16" t="inlineStr">
        <is>
          <t>MD-19.deposito</t>
        </is>
      </c>
      <c r="M100" s="10" t="inlineStr">
        <is>
          <t>Pendiente</t>
        </is>
      </c>
      <c r="N100" s="10" t="n"/>
    </row>
    <row r="101" ht="25" customHeight="1">
      <c r="A101" s="9" t="inlineStr">
        <is>
          <t>M-10a</t>
        </is>
      </c>
      <c r="B101" s="9" t="inlineStr">
        <is>
          <t>Celdas · boxes · tanques (detalle de Depósitos)</t>
        </is>
      </c>
      <c r="C101" s="9" t="n">
        <v>4</v>
      </c>
      <c r="D101" s="8" t="inlineStr">
        <is>
          <t>tipo</t>
        </is>
      </c>
      <c r="E101" s="9" t="inlineStr">
        <is>
          <t>Enumerado</t>
        </is>
      </c>
      <c r="F101" s="9" t="inlineStr">
        <is>
          <t>Sí</t>
        </is>
      </c>
      <c r="G101" s="9" t="inlineStr">
        <is>
          <t>celda · box · tanque</t>
        </is>
      </c>
      <c r="H101" s="9" t="inlineStr">
        <is>
          <t>No</t>
        </is>
      </c>
      <c r="I101" s="9" t="inlineStr">
        <is>
          <t>—</t>
        </is>
      </c>
      <c r="J101" s="9" t="inlineStr">
        <is>
          <t>Modelo</t>
        </is>
      </c>
      <c r="K101" s="9" t="inlineStr">
        <is>
          <t>propio</t>
        </is>
      </c>
      <c r="L101" s="9" t="inlineStr">
        <is>
          <t>MD-19.tipo</t>
        </is>
      </c>
      <c r="M101" s="10" t="inlineStr">
        <is>
          <t>Pendiente</t>
        </is>
      </c>
      <c r="N101" s="10" t="n"/>
    </row>
    <row r="102" ht="25" customHeight="1">
      <c r="A102" s="16" t="inlineStr">
        <is>
          <t>M-10a</t>
        </is>
      </c>
      <c r="B102" s="16" t="inlineStr">
        <is>
          <t>Celdas · boxes · tanques (detalle de Depósitos)</t>
        </is>
      </c>
      <c r="C102" s="16" t="n">
        <v>5</v>
      </c>
      <c r="D102" s="15" t="inlineStr">
        <is>
          <t>capacidad_tn</t>
        </is>
      </c>
      <c r="E102" s="16" t="inlineStr">
        <is>
          <t>Decimal (12,3)</t>
        </is>
      </c>
      <c r="F102" s="16" t="inlineStr">
        <is>
          <t>Sí</t>
        </is>
      </c>
      <c r="G102" s="16" t="inlineStr">
        <is>
          <t>&gt; 0</t>
        </is>
      </c>
      <c r="H102" s="16" t="inlineStr">
        <is>
          <t>Sí</t>
        </is>
      </c>
      <c r="I102" s="16" t="inlineStr">
        <is>
          <t>—</t>
        </is>
      </c>
      <c r="J102" s="16" t="inlineStr">
        <is>
          <t>Modelo</t>
        </is>
      </c>
      <c r="K102" s="16" t="inlineStr">
        <is>
          <t>propio</t>
        </is>
      </c>
      <c r="L102" s="16" t="inlineStr">
        <is>
          <t>MD-19.capacidad_tn</t>
        </is>
      </c>
      <c r="M102" s="10" t="inlineStr">
        <is>
          <t>Pendiente</t>
        </is>
      </c>
      <c r="N102" s="10" t="n"/>
    </row>
    <row r="103" ht="25" customHeight="1">
      <c r="A103" s="9" t="inlineStr">
        <is>
          <t>M-10a</t>
        </is>
      </c>
      <c r="B103" s="9" t="inlineStr">
        <is>
          <t>Celdas · boxes · tanques (detalle de Depósitos)</t>
        </is>
      </c>
      <c r="C103" s="9" t="n">
        <v>6</v>
      </c>
      <c r="D103" s="8" t="inlineStr">
        <is>
          <t>metodo_recepcion</t>
        </is>
      </c>
      <c r="E103" s="9" t="inlineStr">
        <is>
          <t>Enumerado</t>
        </is>
      </c>
      <c r="F103" s="9" t="inlineStr">
        <is>
          <t>Sí</t>
        </is>
      </c>
      <c r="G103" s="9" t="inlineStr">
        <is>
          <t>cinta · pala · tolva · fosa y noria · cañería</t>
        </is>
      </c>
      <c r="H103" s="9" t="inlineStr">
        <is>
          <t>No</t>
        </is>
      </c>
      <c r="I103" s="9" t="inlineStr">
        <is>
          <t>—</t>
        </is>
      </c>
      <c r="J103" s="9" t="inlineStr">
        <is>
          <t>Modelo</t>
        </is>
      </c>
      <c r="K103" s="9" t="inlineStr">
        <is>
          <t>propio</t>
        </is>
      </c>
      <c r="L103" s="9" t="inlineStr">
        <is>
          <t>MD-19.metodo_recepcion</t>
        </is>
      </c>
      <c r="M103" s="10" t="inlineStr">
        <is>
          <t>Pendiente</t>
        </is>
      </c>
      <c r="N103" s="10" t="n"/>
    </row>
    <row r="104" ht="25" customHeight="1">
      <c r="A104" s="16" t="inlineStr">
        <is>
          <t>M-10a</t>
        </is>
      </c>
      <c r="B104" s="16" t="inlineStr">
        <is>
          <t>Celdas · boxes · tanques (detalle de Depósitos)</t>
        </is>
      </c>
      <c r="C104" s="16" t="n">
        <v>7</v>
      </c>
      <c r="D104" s="15" t="inlineStr">
        <is>
          <t>calibracion</t>
        </is>
      </c>
      <c r="E104" s="16" t="inlineStr">
        <is>
          <t>Código + Fecha</t>
        </is>
      </c>
      <c r="F104" s="16" t="inlineStr">
        <is>
          <t>Condicional</t>
        </is>
      </c>
      <c r="G104" s="16" t="inlineStr">
        <is>
          <t>obligatoria si es tanque</t>
        </is>
      </c>
      <c r="H104" s="16" t="inlineStr">
        <is>
          <t>No</t>
        </is>
      </c>
      <c r="I104" s="16" t="inlineStr">
        <is>
          <t>—</t>
        </is>
      </c>
      <c r="J104" s="16" t="inlineStr">
        <is>
          <t>Modelo</t>
        </is>
      </c>
      <c r="K104" s="16" t="inlineStr">
        <is>
          <t>propio</t>
        </is>
      </c>
      <c r="L104" s="16" t="inlineStr">
        <is>
          <t>MD-19.calibracion</t>
        </is>
      </c>
      <c r="M104" s="10" t="inlineStr">
        <is>
          <t>Pendiente</t>
        </is>
      </c>
      <c r="N104" s="10" t="n"/>
    </row>
    <row r="105" ht="25" customHeight="1">
      <c r="A105" s="9" t="inlineStr">
        <is>
          <t>M-10a</t>
        </is>
      </c>
      <c r="B105" s="9" t="inlineStr">
        <is>
          <t>Celdas · boxes · tanques (detalle de Depósitos)</t>
        </is>
      </c>
      <c r="C105" s="9" t="n">
        <v>9</v>
      </c>
      <c r="D105" s="8" t="inlineStr">
        <is>
          <t>estado</t>
        </is>
      </c>
      <c r="E105" s="9" t="inlineStr">
        <is>
          <t>Enumerado</t>
        </is>
      </c>
      <c r="F105" s="9" t="inlineStr">
        <is>
          <t>Sí</t>
        </is>
      </c>
      <c r="G105" s="9" t="inlineStr">
        <is>
          <t>activa · bloqueada · inactiva</t>
        </is>
      </c>
      <c r="H105" s="9" t="inlineStr">
        <is>
          <t>No</t>
        </is>
      </c>
      <c r="I105" s="9" t="inlineStr">
        <is>
          <t>—</t>
        </is>
      </c>
      <c r="J105" s="9" t="inlineStr">
        <is>
          <t>Modelo</t>
        </is>
      </c>
      <c r="K105" s="9" t="inlineStr">
        <is>
          <t>propio</t>
        </is>
      </c>
      <c r="L105" s="9" t="inlineStr">
        <is>
          <t>MD-19.estado</t>
        </is>
      </c>
      <c r="M105" s="10" t="inlineStr">
        <is>
          <t>Pendiente</t>
        </is>
      </c>
      <c r="N105" s="10" t="n"/>
    </row>
    <row r="106">
      <c r="A106" s="17" t="inlineStr">
        <is>
          <t>M-10a</t>
        </is>
      </c>
      <c r="B106" s="17" t="inlineStr">
        <is>
          <t>Celdas · boxes · tanques (detalle de Depósitos)</t>
        </is>
      </c>
      <c r="C106" s="17" t="n">
        <v>10</v>
      </c>
      <c r="D106" s="18" t="inlineStr">
        <is>
          <t>producto_asignado ★</t>
        </is>
      </c>
      <c r="E106" s="17" t="inlineStr">
        <is>
          <t>Ref. M-07</t>
        </is>
      </c>
      <c r="F106" s="17" t="inlineStr">
        <is>
          <t>No</t>
        </is>
      </c>
      <c r="G106" s="17" t="inlineStr">
        <is>
          <t>—</t>
        </is>
      </c>
      <c r="H106" s="17" t="inlineStr">
        <is>
          <t>No</t>
        </is>
      </c>
      <c r="I106" s="17" t="inlineStr">
        <is>
          <t>Calculado por el stock</t>
        </is>
      </c>
      <c r="J106" s="17" t="inlineStr">
        <is>
          <t>★ Simulador</t>
        </is>
      </c>
      <c r="K106" s="17" t="inlineStr">
        <is>
          <t>calculado</t>
        </is>
      </c>
      <c r="L106" s="17" t="inlineStr">
        <is>
          <t>MD-19.producto_asignado</t>
        </is>
      </c>
      <c r="M106" s="10" t="inlineStr">
        <is>
          <t>Pendiente</t>
        </is>
      </c>
      <c r="N106" s="10" t="n"/>
    </row>
    <row r="107" ht="25" customHeight="1">
      <c r="A107" s="17" t="inlineStr">
        <is>
          <t>M-10a</t>
        </is>
      </c>
      <c r="B107" s="17" t="inlineStr">
        <is>
          <t>Celdas · boxes · tanques (detalle de Depósitos)</t>
        </is>
      </c>
      <c r="C107" s="17" t="n">
        <v>11</v>
      </c>
      <c r="D107" s="18" t="inlineStr">
        <is>
          <t>ocupacion_actual_tn ★</t>
        </is>
      </c>
      <c r="E107" s="17" t="inlineStr">
        <is>
          <t>Decimal (12,3)</t>
        </is>
      </c>
      <c r="F107" s="17" t="inlineStr">
        <is>
          <t>No</t>
        </is>
      </c>
      <c r="G107" s="17" t="inlineStr">
        <is>
          <t>—</t>
        </is>
      </c>
      <c r="H107" s="17" t="inlineStr">
        <is>
          <t>No</t>
        </is>
      </c>
      <c r="I107" s="17" t="inlineStr">
        <is>
          <t>Calculado por el stock</t>
        </is>
      </c>
      <c r="J107" s="17" t="inlineStr">
        <is>
          <t>★ Simulador</t>
        </is>
      </c>
      <c r="K107" s="17" t="inlineStr">
        <is>
          <t>calculado</t>
        </is>
      </c>
      <c r="L107" s="17" t="inlineStr">
        <is>
          <t>MD-19.ocupacion_actual_tn</t>
        </is>
      </c>
      <c r="M107" s="10" t="inlineStr">
        <is>
          <t>Pendiente</t>
        </is>
      </c>
      <c r="N107" s="10" t="n"/>
    </row>
    <row r="108">
      <c r="A108" s="17" t="inlineStr">
        <is>
          <t>M-10a</t>
        </is>
      </c>
      <c r="B108" s="17" t="inlineStr">
        <is>
          <t>Celdas · boxes · tanques (detalle de Depósitos)</t>
        </is>
      </c>
      <c r="C108" s="17" t="n">
        <v>12</v>
      </c>
      <c r="D108" s="18" t="inlineStr">
        <is>
          <t>punto_de_conflicto_calidad ★</t>
        </is>
      </c>
      <c r="E108" s="17" t="inlineStr">
        <is>
          <t>Lógico</t>
        </is>
      </c>
      <c r="F108" s="17" t="inlineStr">
        <is>
          <t>No</t>
        </is>
      </c>
      <c r="G108" s="17" t="inlineStr">
        <is>
          <t>—</t>
        </is>
      </c>
      <c r="H108" s="17" t="inlineStr">
        <is>
          <t>No</t>
        </is>
      </c>
      <c r="I108" s="17" t="inlineStr">
        <is>
          <t>Calculado por muestreo</t>
        </is>
      </c>
      <c r="J108" s="17" t="inlineStr">
        <is>
          <t>★ Simulador</t>
        </is>
      </c>
      <c r="K108" s="17" t="inlineStr">
        <is>
          <t>calculado</t>
        </is>
      </c>
      <c r="L108" s="17" t="inlineStr">
        <is>
          <t>MD-19.punto_de_conflicto_calidad</t>
        </is>
      </c>
      <c r="M108" s="10" t="inlineStr">
        <is>
          <t>Pendiente</t>
        </is>
      </c>
      <c r="N108" s="10" t="n"/>
    </row>
    <row r="109" ht="25" customHeight="1">
      <c r="A109" s="12" t="inlineStr">
        <is>
          <t>M-10a</t>
        </is>
      </c>
      <c r="B109" s="12" t="inlineStr">
        <is>
          <t>Celdas · boxes · tanques (detalle de Depósitos)</t>
        </is>
      </c>
      <c r="C109" s="12" t="n">
        <v>8</v>
      </c>
      <c r="D109" s="11" t="inlineStr">
        <is>
          <t>metodo_seguro</t>
        </is>
      </c>
      <c r="E109" s="12" t="inlineStr">
        <is>
          <t>Ref. M-34 (múltiple)</t>
        </is>
      </c>
      <c r="F109" s="12" t="inlineStr">
        <is>
          <t>No</t>
        </is>
      </c>
      <c r="G109" s="12" t="inlineStr">
        <is>
          <t>uno o más MS vigentes</t>
        </is>
      </c>
      <c r="H109" s="12" t="inlineStr">
        <is>
          <t>No</t>
        </is>
      </c>
      <c r="I109" s="12" t="inlineStr">
        <is>
          <t>Opcional: MS específico de la ubicación (p. ej. tanque). Si está vacío hereda el del depósito</t>
        </is>
      </c>
      <c r="J109" s="12" t="inlineStr">
        <is>
          <t>Revisión 15/09/2026</t>
        </is>
      </c>
      <c r="K109" s="12" t="inlineStr">
        <is>
          <t>propio</t>
        </is>
      </c>
      <c r="L109" s="12" t="inlineStr">
        <is>
          <t>— (nuevo)</t>
        </is>
      </c>
      <c r="M109" s="10" t="inlineStr">
        <is>
          <t>Pendiente</t>
        </is>
      </c>
      <c r="N109" s="10" t="n"/>
    </row>
    <row r="110">
      <c r="A110" s="12" t="inlineStr">
        <is>
          <t>M-11</t>
        </is>
      </c>
      <c r="B110" s="12" t="inlineStr">
        <is>
          <t>Transporte</t>
        </is>
      </c>
      <c r="C110" s="12" t="n">
        <v>1</v>
      </c>
      <c r="D110" s="11" t="inlineStr">
        <is>
          <t>codigo</t>
        </is>
      </c>
      <c r="E110" s="12" t="inlineStr">
        <is>
          <t>Código (10)</t>
        </is>
      </c>
      <c r="F110" s="12" t="inlineStr">
        <is>
          <t>Sí</t>
        </is>
      </c>
      <c r="G110" s="12" t="inlineStr">
        <is>
          <t>—</t>
        </is>
      </c>
      <c r="H110" s="12" t="inlineStr">
        <is>
          <t>No</t>
        </is>
      </c>
      <c r="I110" s="12" t="inlineStr">
        <is>
          <t>—</t>
        </is>
      </c>
      <c r="J110" s="12" t="inlineStr">
        <is>
          <t>Modelo</t>
        </is>
      </c>
      <c r="K110" s="12" t="inlineStr">
        <is>
          <t>propio</t>
        </is>
      </c>
      <c r="L110" s="12" t="inlineStr">
        <is>
          <t>— (nuevo)</t>
        </is>
      </c>
      <c r="M110" s="10" t="inlineStr">
        <is>
          <t>Pendiente</t>
        </is>
      </c>
      <c r="N110" s="10" t="n"/>
    </row>
    <row r="111">
      <c r="A111" s="12" t="inlineStr">
        <is>
          <t>M-11</t>
        </is>
      </c>
      <c r="B111" s="12" t="inlineStr">
        <is>
          <t>Transporte</t>
        </is>
      </c>
      <c r="C111" s="12" t="n">
        <v>2</v>
      </c>
      <c r="D111" s="11" t="inlineStr">
        <is>
          <t>tipo</t>
        </is>
      </c>
      <c r="E111" s="12" t="inlineStr">
        <is>
          <t>Enumerado</t>
        </is>
      </c>
      <c r="F111" s="12" t="inlineStr">
        <is>
          <t>Sí</t>
        </is>
      </c>
      <c r="G111" s="12" t="inlineStr">
        <is>
          <t>camión batea · camión cisterna · camión tolva · plataforma · barcaza</t>
        </is>
      </c>
      <c r="H111" s="12" t="inlineStr">
        <is>
          <t>No</t>
        </is>
      </c>
      <c r="I111" s="12" t="inlineStr">
        <is>
          <t>—</t>
        </is>
      </c>
      <c r="J111" s="12" t="inlineStr">
        <is>
          <t>Modelo</t>
        </is>
      </c>
      <c r="K111" s="12" t="inlineStr">
        <is>
          <t>propio</t>
        </is>
      </c>
      <c r="L111" s="12" t="inlineStr">
        <is>
          <t>— (nuevo)</t>
        </is>
      </c>
      <c r="M111" s="10" t="inlineStr">
        <is>
          <t>Pendiente</t>
        </is>
      </c>
      <c r="N111" s="10" t="n"/>
    </row>
    <row r="112">
      <c r="A112" s="12" t="inlineStr">
        <is>
          <t>M-11</t>
        </is>
      </c>
      <c r="B112" s="12" t="inlineStr">
        <is>
          <t>Transporte</t>
        </is>
      </c>
      <c r="C112" s="12" t="n">
        <v>3</v>
      </c>
      <c r="D112" s="11" t="inlineStr">
        <is>
          <t>caracteristica</t>
        </is>
      </c>
      <c r="E112" s="12" t="inlineStr">
        <is>
          <t>Texto (60)</t>
        </is>
      </c>
      <c r="F112" s="12" t="inlineStr">
        <is>
          <t>No</t>
        </is>
      </c>
      <c r="G112" s="12" t="inlineStr">
        <is>
          <t>ej. volcadora · con lona · 4 ejes</t>
        </is>
      </c>
      <c r="H112" s="12" t="inlineStr">
        <is>
          <t>No</t>
        </is>
      </c>
      <c r="I112" s="12" t="inlineStr">
        <is>
          <t>—</t>
        </is>
      </c>
      <c r="J112" s="12" t="inlineStr">
        <is>
          <t>Modelo</t>
        </is>
      </c>
      <c r="K112" s="12" t="inlineStr">
        <is>
          <t>propio</t>
        </is>
      </c>
      <c r="L112" s="12" t="inlineStr">
        <is>
          <t>— (nuevo)</t>
        </is>
      </c>
      <c r="M112" s="10" t="inlineStr">
        <is>
          <t>Pendiente</t>
        </is>
      </c>
      <c r="N112" s="10" t="n"/>
    </row>
    <row r="113">
      <c r="A113" s="16" t="inlineStr">
        <is>
          <t>M-11</t>
        </is>
      </c>
      <c r="B113" s="16" t="inlineStr">
        <is>
          <t>Transporte</t>
        </is>
      </c>
      <c r="C113" s="16" t="n">
        <v>4</v>
      </c>
      <c r="D113" s="15" t="inlineStr">
        <is>
          <t>patente</t>
        </is>
      </c>
      <c r="E113" s="16" t="inlineStr">
        <is>
          <t>Código (16)</t>
        </is>
      </c>
      <c r="F113" s="16" t="inlineStr">
        <is>
          <t>Sí</t>
        </is>
      </c>
      <c r="G113" s="16" t="inlineStr">
        <is>
          <t>tractor / batea</t>
        </is>
      </c>
      <c r="H113" s="16" t="inlineStr">
        <is>
          <t>No</t>
        </is>
      </c>
      <c r="I113" s="16" t="inlineStr">
        <is>
          <t>—</t>
        </is>
      </c>
      <c r="J113" s="16" t="inlineStr">
        <is>
          <t>Modelo</t>
        </is>
      </c>
      <c r="K113" s="16" t="inlineStr">
        <is>
          <t>propio</t>
        </is>
      </c>
      <c r="L113" s="16" t="inlineStr">
        <is>
          <t>MD-23.patente_tractor · MD-23.patente_batea</t>
        </is>
      </c>
      <c r="M113" s="10" t="inlineStr">
        <is>
          <t>Pendiente</t>
        </is>
      </c>
      <c r="N113" s="10" t="n"/>
    </row>
    <row r="114">
      <c r="A114" s="12" t="inlineStr">
        <is>
          <t>M-11</t>
        </is>
      </c>
      <c r="B114" s="12" t="inlineStr">
        <is>
          <t>Transporte</t>
        </is>
      </c>
      <c r="C114" s="12" t="n">
        <v>5</v>
      </c>
      <c r="D114" s="11" t="inlineStr">
        <is>
          <t>descripcion</t>
        </is>
      </c>
      <c r="E114" s="12" t="inlineStr">
        <is>
          <t>Texto (80)</t>
        </is>
      </c>
      <c r="F114" s="12" t="inlineStr">
        <is>
          <t>No</t>
        </is>
      </c>
      <c r="G114" s="12" t="inlineStr">
        <is>
          <t>—</t>
        </is>
      </c>
      <c r="H114" s="12" t="inlineStr">
        <is>
          <t>No</t>
        </is>
      </c>
      <c r="I114" s="12" t="inlineStr">
        <is>
          <t>—</t>
        </is>
      </c>
      <c r="J114" s="12" t="inlineStr">
        <is>
          <t>Modelo</t>
        </is>
      </c>
      <c r="K114" s="12" t="inlineStr">
        <is>
          <t>propio</t>
        </is>
      </c>
      <c r="L114" s="12" t="inlineStr">
        <is>
          <t>— (nuevo)</t>
        </is>
      </c>
      <c r="M114" s="10" t="inlineStr">
        <is>
          <t>Pendiente</t>
        </is>
      </c>
      <c r="N114" s="10" t="n"/>
    </row>
    <row r="115">
      <c r="A115" s="16" t="inlineStr">
        <is>
          <t>M-11</t>
        </is>
      </c>
      <c r="B115" s="16" t="inlineStr">
        <is>
          <t>Transporte</t>
        </is>
      </c>
      <c r="C115" s="16" t="n">
        <v>6</v>
      </c>
      <c r="D115" s="15" t="inlineStr">
        <is>
          <t>tara_certificada_tn</t>
        </is>
      </c>
      <c r="E115" s="16" t="inlineStr">
        <is>
          <t>Decimal (8,3)</t>
        </is>
      </c>
      <c r="F115" s="16" t="inlineStr">
        <is>
          <t>Sí</t>
        </is>
      </c>
      <c r="G115" s="16" t="inlineStr">
        <is>
          <t>&gt; 0</t>
        </is>
      </c>
      <c r="H115" s="16" t="inlineStr">
        <is>
          <t>No</t>
        </is>
      </c>
      <c r="I115" s="16" t="inlineStr">
        <is>
          <t>—</t>
        </is>
      </c>
      <c r="J115" s="16" t="inlineStr">
        <is>
          <t>Modelo</t>
        </is>
      </c>
      <c r="K115" s="16" t="inlineStr">
        <is>
          <t>propio</t>
        </is>
      </c>
      <c r="L115" s="16" t="inlineStr">
        <is>
          <t>MD-23.tara_certificada_tn</t>
        </is>
      </c>
      <c r="M115" s="10" t="inlineStr">
        <is>
          <t>Pendiente</t>
        </is>
      </c>
      <c r="N115" s="10" t="n"/>
    </row>
    <row r="116">
      <c r="A116" s="9" t="inlineStr">
        <is>
          <t>M-11</t>
        </is>
      </c>
      <c r="B116" s="9" t="inlineStr">
        <is>
          <t>Transporte</t>
        </is>
      </c>
      <c r="C116" s="9" t="n">
        <v>7</v>
      </c>
      <c r="D116" s="8" t="inlineStr">
        <is>
          <t>capacidad_tn</t>
        </is>
      </c>
      <c r="E116" s="9" t="inlineStr">
        <is>
          <t>Decimal (8,3)</t>
        </is>
      </c>
      <c r="F116" s="9" t="inlineStr">
        <is>
          <t>Sí</t>
        </is>
      </c>
      <c r="G116" s="9" t="inlineStr">
        <is>
          <t>&gt; 0</t>
        </is>
      </c>
      <c r="H116" s="9" t="inlineStr">
        <is>
          <t>No</t>
        </is>
      </c>
      <c r="I116" s="9" t="inlineStr">
        <is>
          <t>—</t>
        </is>
      </c>
      <c r="J116" s="9" t="inlineStr">
        <is>
          <t>Modelo</t>
        </is>
      </c>
      <c r="K116" s="9" t="inlineStr">
        <is>
          <t>propio</t>
        </is>
      </c>
      <c r="L116" s="9" t="inlineStr">
        <is>
          <t>MD-23.capacidad_tn</t>
        </is>
      </c>
      <c r="M116" s="10" t="inlineStr">
        <is>
          <t>Pendiente</t>
        </is>
      </c>
      <c r="N116" s="10" t="n"/>
    </row>
    <row r="117">
      <c r="A117" s="12" t="inlineStr">
        <is>
          <t>M-11</t>
        </is>
      </c>
      <c r="B117" s="12" t="inlineStr">
        <is>
          <t>Transporte</t>
        </is>
      </c>
      <c r="C117" s="12" t="n">
        <v>8</v>
      </c>
      <c r="D117" s="11" t="inlineStr">
        <is>
          <t>propiedad</t>
        </is>
      </c>
      <c r="E117" s="12" t="inlineStr">
        <is>
          <t>Enumerado</t>
        </is>
      </c>
      <c r="F117" s="12" t="inlineStr">
        <is>
          <t>Sí</t>
        </is>
      </c>
      <c r="G117" s="12" t="inlineStr">
        <is>
          <t>propia · tercero</t>
        </is>
      </c>
      <c r="H117" s="12" t="inlineStr">
        <is>
          <t>No</t>
        </is>
      </c>
      <c r="I117" s="12" t="inlineStr">
        <is>
          <t>—</t>
        </is>
      </c>
      <c r="J117" s="12" t="inlineStr">
        <is>
          <t>Modelo</t>
        </is>
      </c>
      <c r="K117" s="12" t="inlineStr">
        <is>
          <t>propio</t>
        </is>
      </c>
      <c r="L117" s="12" t="inlineStr">
        <is>
          <t>— (nuevo)</t>
        </is>
      </c>
      <c r="M117" s="10" t="inlineStr">
        <is>
          <t>Pendiente</t>
        </is>
      </c>
      <c r="N117" s="10" t="n"/>
    </row>
    <row r="118">
      <c r="A118" s="9" t="inlineStr">
        <is>
          <t>M-11</t>
        </is>
      </c>
      <c r="B118" s="9" t="inlineStr">
        <is>
          <t>Transporte</t>
        </is>
      </c>
      <c r="C118" s="9" t="n">
        <v>10</v>
      </c>
      <c r="D118" s="8" t="inlineStr">
        <is>
          <t>estado</t>
        </is>
      </c>
      <c r="E118" s="9" t="inlineStr">
        <is>
          <t>Enumerado</t>
        </is>
      </c>
      <c r="F118" s="9" t="inlineStr">
        <is>
          <t>Sí</t>
        </is>
      </c>
      <c r="G118" s="9" t="inlineStr">
        <is>
          <t>habilitada · observada · inhabilitada</t>
        </is>
      </c>
      <c r="H118" s="9" t="inlineStr">
        <is>
          <t>No</t>
        </is>
      </c>
      <c r="I118" s="9" t="inlineStr">
        <is>
          <t>—</t>
        </is>
      </c>
      <c r="J118" s="9" t="inlineStr">
        <is>
          <t>Modelo</t>
        </is>
      </c>
      <c r="K118" s="9" t="inlineStr">
        <is>
          <t>propio</t>
        </is>
      </c>
      <c r="L118" s="9" t="inlineStr">
        <is>
          <t>MD-23.estado</t>
        </is>
      </c>
      <c r="M118" s="10" t="inlineStr">
        <is>
          <t>Pendiente</t>
        </is>
      </c>
      <c r="N118" s="10" t="n"/>
    </row>
    <row r="119">
      <c r="A119" s="17" t="inlineStr">
        <is>
          <t>M-11</t>
        </is>
      </c>
      <c r="B119" s="17" t="inlineStr">
        <is>
          <t>Transporte</t>
        </is>
      </c>
      <c r="C119" s="17" t="n">
        <v>11</v>
      </c>
      <c r="D119" s="18" t="inlineStr">
        <is>
          <t>transportista ★</t>
        </is>
      </c>
      <c r="E119" s="17" t="inlineStr">
        <is>
          <t>Ref. M-06</t>
        </is>
      </c>
      <c r="F119" s="17" t="inlineStr">
        <is>
          <t>Condicional</t>
        </is>
      </c>
      <c r="G119" s="17" t="inlineStr">
        <is>
          <t>proveedor de transporte si es de tercero</t>
        </is>
      </c>
      <c r="H119" s="17" t="inlineStr">
        <is>
          <t>No</t>
        </is>
      </c>
      <c r="I119" s="17" t="inlineStr">
        <is>
          <t>Dueño de la unidad cuando es de tercero</t>
        </is>
      </c>
      <c r="J119" s="17" t="inlineStr">
        <is>
          <t>★ Simulador</t>
        </is>
      </c>
      <c r="K119" s="17" t="inlineStr">
        <is>
          <t>propio</t>
        </is>
      </c>
      <c r="L119" s="17" t="inlineStr">
        <is>
          <t>MD-23.transportista</t>
        </is>
      </c>
      <c r="M119" s="10" t="inlineStr">
        <is>
          <t>Pendiente</t>
        </is>
      </c>
      <c r="N119" s="10" t="n"/>
    </row>
    <row r="120">
      <c r="A120" s="17" t="inlineStr">
        <is>
          <t>M-11</t>
        </is>
      </c>
      <c r="B120" s="17" t="inlineStr">
        <is>
          <t>Transporte</t>
        </is>
      </c>
      <c r="C120" s="17" t="n">
        <v>12</v>
      </c>
      <c r="D120" s="18" t="inlineStr">
        <is>
          <t>aptitud_por_producto ★</t>
        </is>
      </c>
      <c r="E120" s="17" t="inlineStr">
        <is>
          <t>Ref. M-07 (múltiple)</t>
        </is>
      </c>
      <c r="F120" s="17" t="inlineStr">
        <is>
          <t>No</t>
        </is>
      </c>
      <c r="G120" s="17" t="inlineStr">
        <is>
          <t>vacío = todos</t>
        </is>
      </c>
      <c r="H120" s="17" t="inlineStr">
        <is>
          <t>Sí</t>
        </is>
      </c>
      <c r="I120" s="17" t="inlineStr">
        <is>
          <t>Qué productos puede cargar</t>
        </is>
      </c>
      <c r="J120" s="17" t="inlineStr">
        <is>
          <t>★ Simulador</t>
        </is>
      </c>
      <c r="K120" s="17" t="inlineStr">
        <is>
          <t>propio</t>
        </is>
      </c>
      <c r="L120" s="17" t="inlineStr">
        <is>
          <t>MD-23.aptitud_por_producto</t>
        </is>
      </c>
      <c r="M120" s="10" t="inlineStr">
        <is>
          <t>Pendiente</t>
        </is>
      </c>
      <c r="N120" s="10" t="n"/>
    </row>
    <row r="121" ht="25" customHeight="1">
      <c r="A121" s="17" t="inlineStr">
        <is>
          <t>M-11</t>
        </is>
      </c>
      <c r="B121" s="17" t="inlineStr">
        <is>
          <t>Transporte</t>
        </is>
      </c>
      <c r="C121" s="17" t="n">
        <v>13</v>
      </c>
      <c r="D121" s="18" t="inlineStr">
        <is>
          <t>tara_vencimiento ★</t>
        </is>
      </c>
      <c r="E121" s="17" t="inlineStr">
        <is>
          <t>Fecha</t>
        </is>
      </c>
      <c r="F121" s="17" t="inlineStr">
        <is>
          <t>No</t>
        </is>
      </c>
      <c r="G121" s="17" t="inlineStr">
        <is>
          <t>futuro</t>
        </is>
      </c>
      <c r="H121" s="17" t="inlineStr">
        <is>
          <t>No</t>
        </is>
      </c>
      <c r="I121" s="17" t="inlineStr">
        <is>
          <t>Vencimiento del certificado de tara</t>
        </is>
      </c>
      <c r="J121" s="17" t="inlineStr">
        <is>
          <t>★ Simulador</t>
        </is>
      </c>
      <c r="K121" s="17" t="inlineStr">
        <is>
          <t>propio</t>
        </is>
      </c>
      <c r="L121" s="17" t="inlineStr">
        <is>
          <t>— (nuevo)</t>
        </is>
      </c>
      <c r="M121" s="10" t="inlineStr">
        <is>
          <t>Pendiente</t>
        </is>
      </c>
      <c r="N121" s="10" t="n"/>
    </row>
    <row r="122">
      <c r="A122" s="17" t="inlineStr">
        <is>
          <t>M-11</t>
        </is>
      </c>
      <c r="B122" s="17" t="inlineStr">
        <is>
          <t>Transporte</t>
        </is>
      </c>
      <c r="C122" s="17" t="n">
        <v>14</v>
      </c>
      <c r="D122" s="18" t="inlineStr">
        <is>
          <t>checklist_vigente ★</t>
        </is>
      </c>
      <c r="E122" s="17" t="inlineStr">
        <is>
          <t>Lógico</t>
        </is>
      </c>
      <c r="F122" s="17" t="inlineStr">
        <is>
          <t>No</t>
        </is>
      </c>
      <c r="G122" s="17" t="inlineStr">
        <is>
          <t>—</t>
        </is>
      </c>
      <c r="H122" s="17" t="inlineStr">
        <is>
          <t>No</t>
        </is>
      </c>
      <c r="I122" s="17" t="inlineStr">
        <is>
          <t>Calculado: último checklist de portería</t>
        </is>
      </c>
      <c r="J122" s="17" t="inlineStr">
        <is>
          <t>★ Simulador</t>
        </is>
      </c>
      <c r="K122" s="17" t="inlineStr">
        <is>
          <t>calculado</t>
        </is>
      </c>
      <c r="L122" s="17" t="inlineStr">
        <is>
          <t>MD-23.checklist_vigente</t>
        </is>
      </c>
      <c r="M122" s="10" t="inlineStr">
        <is>
          <t>Pendiente</t>
        </is>
      </c>
      <c r="N122" s="10" t="n"/>
    </row>
    <row r="123">
      <c r="A123" s="12" t="inlineStr">
        <is>
          <t>M-11</t>
        </is>
      </c>
      <c r="B123" s="12" t="inlineStr">
        <is>
          <t>Transporte</t>
        </is>
      </c>
      <c r="C123" s="12" t="n">
        <v>9</v>
      </c>
      <c r="D123" s="11" t="inlineStr">
        <is>
          <t>metodo_seguro</t>
        </is>
      </c>
      <c r="E123" s="12" t="inlineStr">
        <is>
          <t>Ref. M-34 (múltiple)</t>
        </is>
      </c>
      <c r="F123" s="12" t="inlineStr">
        <is>
          <t>Sí</t>
        </is>
      </c>
      <c r="G123" s="12" t="inlineStr">
        <is>
          <t>uno o más MS vigentes</t>
        </is>
      </c>
      <c r="H123" s="12" t="inlineStr">
        <is>
          <t>No</t>
        </is>
      </c>
      <c r="I123" s="12" t="inlineStr">
        <is>
          <t>Método seguro del tipo de unidad (circulación en planta, carga / descarga). Vencido → sin disponibilidad</t>
        </is>
      </c>
      <c r="J123" s="12" t="inlineStr">
        <is>
          <t>Revisión 15/09/2026</t>
        </is>
      </c>
      <c r="K123" s="12" t="inlineStr">
        <is>
          <t>propio</t>
        </is>
      </c>
      <c r="L123" s="12" t="inlineStr">
        <is>
          <t>— (nuevo)</t>
        </is>
      </c>
      <c r="M123" s="10" t="inlineStr">
        <is>
          <t>Pendiente</t>
        </is>
      </c>
      <c r="N123" s="10" t="n"/>
    </row>
    <row r="124">
      <c r="A124" s="16" t="inlineStr">
        <is>
          <t>M-12</t>
        </is>
      </c>
      <c r="B124" s="16" t="inlineStr">
        <is>
          <t>Maquinaria</t>
        </is>
      </c>
      <c r="C124" s="16" t="n">
        <v>1</v>
      </c>
      <c r="D124" s="15" t="inlineStr">
        <is>
          <t>codigo</t>
        </is>
      </c>
      <c r="E124" s="16" t="inlineStr">
        <is>
          <t>Código (10)</t>
        </is>
      </c>
      <c r="F124" s="16" t="inlineStr">
        <is>
          <t>Sí</t>
        </is>
      </c>
      <c r="G124" s="16" t="inlineStr">
        <is>
          <t>—</t>
        </is>
      </c>
      <c r="H124" s="16" t="inlineStr">
        <is>
          <t>No</t>
        </is>
      </c>
      <c r="I124" s="16" t="inlineStr">
        <is>
          <t>—</t>
        </is>
      </c>
      <c r="J124" s="16" t="inlineStr">
        <is>
          <t>Modelo</t>
        </is>
      </c>
      <c r="K124" s="16" t="inlineStr">
        <is>
          <t>propio</t>
        </is>
      </c>
      <c r="L124" s="16" t="inlineStr">
        <is>
          <t>MD-27.codigo · MD-28.codigo</t>
        </is>
      </c>
      <c r="M124" s="10" t="inlineStr">
        <is>
          <t>Pendiente</t>
        </is>
      </c>
      <c r="N124" s="10" t="n"/>
    </row>
    <row r="125">
      <c r="A125" s="9" t="inlineStr">
        <is>
          <t>M-12</t>
        </is>
      </c>
      <c r="B125" s="9" t="inlineStr">
        <is>
          <t>Maquinaria</t>
        </is>
      </c>
      <c r="C125" s="9" t="n">
        <v>2</v>
      </c>
      <c r="D125" s="8" t="inlineStr">
        <is>
          <t>nombre</t>
        </is>
      </c>
      <c r="E125" s="9" t="inlineStr">
        <is>
          <t>Texto (80)</t>
        </is>
      </c>
      <c r="F125" s="9" t="inlineStr">
        <is>
          <t>Sí</t>
        </is>
      </c>
      <c r="G125" s="9" t="inlineStr">
        <is>
          <t>—</t>
        </is>
      </c>
      <c r="H125" s="9" t="inlineStr">
        <is>
          <t>No</t>
        </is>
      </c>
      <c r="I125" s="9" t="inlineStr">
        <is>
          <t>—</t>
        </is>
      </c>
      <c r="J125" s="9" t="inlineStr">
        <is>
          <t>Modelo</t>
        </is>
      </c>
      <c r="K125" s="9" t="inlineStr">
        <is>
          <t>propio</t>
        </is>
      </c>
      <c r="L125" s="9" t="inlineStr">
        <is>
          <t>MD-27.nombre</t>
        </is>
      </c>
      <c r="M125" s="10" t="inlineStr">
        <is>
          <t>Pendiente</t>
        </is>
      </c>
      <c r="N125" s="10" t="n"/>
    </row>
    <row r="126">
      <c r="A126" s="16" t="inlineStr">
        <is>
          <t>M-12</t>
        </is>
      </c>
      <c r="B126" s="16" t="inlineStr">
        <is>
          <t>Maquinaria</t>
        </is>
      </c>
      <c r="C126" s="16" t="n">
        <v>3</v>
      </c>
      <c r="D126" s="15" t="inlineStr">
        <is>
          <t>tipo</t>
        </is>
      </c>
      <c r="E126" s="16" t="inlineStr">
        <is>
          <t>Enumerado</t>
        </is>
      </c>
      <c r="F126" s="16" t="inlineStr">
        <is>
          <t>Sí</t>
        </is>
      </c>
      <c r="G126" s="16" t="inlineStr">
        <is>
          <t>grúa móvil · pala · tolva · cinta · autoelevador · bomba · otro</t>
        </is>
      </c>
      <c r="H126" s="16" t="inlineStr">
        <is>
          <t>No</t>
        </is>
      </c>
      <c r="I126" s="16" t="inlineStr">
        <is>
          <t>—</t>
        </is>
      </c>
      <c r="J126" s="16" t="inlineStr">
        <is>
          <t>Modelo</t>
        </is>
      </c>
      <c r="K126" s="16" t="inlineStr">
        <is>
          <t>propio</t>
        </is>
      </c>
      <c r="L126" s="16" t="inlineStr">
        <is>
          <t>MD-27.tipo</t>
        </is>
      </c>
      <c r="M126" s="10" t="inlineStr">
        <is>
          <t>Pendiente</t>
        </is>
      </c>
      <c r="N126" s="10" t="n"/>
    </row>
    <row r="127">
      <c r="A127" s="9" t="inlineStr">
        <is>
          <t>M-12</t>
        </is>
      </c>
      <c r="B127" s="9" t="inlineStr">
        <is>
          <t>Maquinaria</t>
        </is>
      </c>
      <c r="C127" s="9" t="n">
        <v>4</v>
      </c>
      <c r="D127" s="8" t="inlineStr">
        <is>
          <t>planta</t>
        </is>
      </c>
      <c r="E127" s="9" t="inlineStr">
        <is>
          <t>Ref. M-09</t>
        </is>
      </c>
      <c r="F127" s="9" t="inlineStr">
        <is>
          <t>Sí</t>
        </is>
      </c>
      <c r="G127" s="9" t="inlineStr">
        <is>
          <t>—</t>
        </is>
      </c>
      <c r="H127" s="9" t="inlineStr">
        <is>
          <t>No</t>
        </is>
      </c>
      <c r="I127" s="9" t="inlineStr">
        <is>
          <t>—</t>
        </is>
      </c>
      <c r="J127" s="9" t="inlineStr">
        <is>
          <t>Modelo</t>
        </is>
      </c>
      <c r="K127" s="9" t="inlineStr">
        <is>
          <t>propio</t>
        </is>
      </c>
      <c r="L127" s="9" t="inlineStr">
        <is>
          <t>MD-27.planta</t>
        </is>
      </c>
      <c r="M127" s="10" t="inlineStr">
        <is>
          <t>Pendiente</t>
        </is>
      </c>
      <c r="N127" s="10" t="n"/>
    </row>
    <row r="128">
      <c r="A128" s="16" t="inlineStr">
        <is>
          <t>M-12</t>
        </is>
      </c>
      <c r="B128" s="16" t="inlineStr">
        <is>
          <t>Maquinaria</t>
        </is>
      </c>
      <c r="C128" s="16" t="n">
        <v>5</v>
      </c>
      <c r="D128" s="15" t="inlineStr">
        <is>
          <t>plan_mantenimiento</t>
        </is>
      </c>
      <c r="E128" s="16" t="inlineStr">
        <is>
          <t>Texto (80)</t>
        </is>
      </c>
      <c r="F128" s="16" t="inlineStr">
        <is>
          <t>Sí</t>
        </is>
      </c>
      <c r="G128" s="16" t="inlineStr">
        <is>
          <t>ej. service cada 250 h</t>
        </is>
      </c>
      <c r="H128" s="16" t="inlineStr">
        <is>
          <t>No</t>
        </is>
      </c>
      <c r="I128" s="16" t="inlineStr">
        <is>
          <t>—</t>
        </is>
      </c>
      <c r="J128" s="16" t="inlineStr">
        <is>
          <t>Modelo</t>
        </is>
      </c>
      <c r="K128" s="16" t="inlineStr">
        <is>
          <t>propio</t>
        </is>
      </c>
      <c r="L128" s="16" t="inlineStr">
        <is>
          <t>MD-27.plan_mantenimiento</t>
        </is>
      </c>
      <c r="M128" s="10" t="inlineStr">
        <is>
          <t>Pendiente</t>
        </is>
      </c>
      <c r="N128" s="10" t="n"/>
    </row>
    <row r="129">
      <c r="A129" s="9" t="inlineStr">
        <is>
          <t>M-12</t>
        </is>
      </c>
      <c r="B129" s="9" t="inlineStr">
        <is>
          <t>Maquinaria</t>
        </is>
      </c>
      <c r="C129" s="9" t="n">
        <v>6</v>
      </c>
      <c r="D129" s="8" t="inlineStr">
        <is>
          <t>centro_costo</t>
        </is>
      </c>
      <c r="E129" s="9" t="inlineStr">
        <is>
          <t>Ref. M-02</t>
        </is>
      </c>
      <c r="F129" s="9" t="inlineStr">
        <is>
          <t>Sí</t>
        </is>
      </c>
      <c r="G129" s="9" t="inlineStr">
        <is>
          <t>—</t>
        </is>
      </c>
      <c r="H129" s="9" t="inlineStr">
        <is>
          <t>No</t>
        </is>
      </c>
      <c r="I129" s="9" t="inlineStr">
        <is>
          <t>—</t>
        </is>
      </c>
      <c r="J129" s="9" t="inlineStr">
        <is>
          <t>Modelo</t>
        </is>
      </c>
      <c r="K129" s="9" t="inlineStr">
        <is>
          <t>propio</t>
        </is>
      </c>
      <c r="L129" s="9" t="inlineStr">
        <is>
          <t>MD-27.centro_costo</t>
        </is>
      </c>
      <c r="M129" s="10" t="inlineStr">
        <is>
          <t>Pendiente</t>
        </is>
      </c>
      <c r="N129" s="10" t="n"/>
    </row>
    <row r="130">
      <c r="A130" s="16" t="inlineStr">
        <is>
          <t>M-12</t>
        </is>
      </c>
      <c r="B130" s="16" t="inlineStr">
        <is>
          <t>Maquinaria</t>
        </is>
      </c>
      <c r="C130" s="16" t="n">
        <v>7</v>
      </c>
      <c r="D130" s="15" t="inlineStr">
        <is>
          <t>activo_fijo_asociado</t>
        </is>
      </c>
      <c r="E130" s="16" t="inlineStr">
        <is>
          <t>Texto (30)</t>
        </is>
      </c>
      <c r="F130" s="16" t="inlineStr">
        <is>
          <t>No</t>
        </is>
      </c>
      <c r="G130" s="16" t="inlineStr">
        <is>
          <t>—</t>
        </is>
      </c>
      <c r="H130" s="16" t="inlineStr">
        <is>
          <t>No</t>
        </is>
      </c>
      <c r="I130" s="16" t="inlineStr">
        <is>
          <t>—</t>
        </is>
      </c>
      <c r="J130" s="16" t="inlineStr">
        <is>
          <t>Modelo</t>
        </is>
      </c>
      <c r="K130" s="16" t="inlineStr">
        <is>
          <t>propio</t>
        </is>
      </c>
      <c r="L130" s="16" t="inlineStr">
        <is>
          <t>MD-27.activo_fijo_asociado</t>
        </is>
      </c>
      <c r="M130" s="10" t="inlineStr">
        <is>
          <t>Pendiente</t>
        </is>
      </c>
      <c r="N130" s="10" t="n"/>
    </row>
    <row r="131">
      <c r="A131" s="9" t="inlineStr">
        <is>
          <t>M-12</t>
        </is>
      </c>
      <c r="B131" s="9" t="inlineStr">
        <is>
          <t>Maquinaria</t>
        </is>
      </c>
      <c r="C131" s="9" t="n">
        <v>8</v>
      </c>
      <c r="D131" s="8" t="inlineStr">
        <is>
          <t>horometro_actual</t>
        </is>
      </c>
      <c r="E131" s="9" t="inlineStr">
        <is>
          <t>Decimal (10,1)</t>
        </is>
      </c>
      <c r="F131" s="9" t="inlineStr">
        <is>
          <t>Sí</t>
        </is>
      </c>
      <c r="G131" s="9" t="inlineStr">
        <is>
          <t>≥ 0</t>
        </is>
      </c>
      <c r="H131" s="9" t="inlineStr">
        <is>
          <t>No</t>
        </is>
      </c>
      <c r="I131" s="9" t="inlineStr">
        <is>
          <t>Avanza con los partes de turno; no se edita a mano</t>
        </is>
      </c>
      <c r="J131" s="9" t="inlineStr">
        <is>
          <t>Modelo</t>
        </is>
      </c>
      <c r="K131" s="9" t="inlineStr">
        <is>
          <t>calculado</t>
        </is>
      </c>
      <c r="L131" s="9" t="inlineStr">
        <is>
          <t>MD-27.horometro_actual</t>
        </is>
      </c>
      <c r="M131" s="10" t="inlineStr">
        <is>
          <t>Pendiente</t>
        </is>
      </c>
      <c r="N131" s="10" t="n"/>
    </row>
    <row r="132">
      <c r="A132" s="12" t="inlineStr">
        <is>
          <t>M-12</t>
        </is>
      </c>
      <c r="B132" s="12" t="inlineStr">
        <is>
          <t>Maquinaria</t>
        </is>
      </c>
      <c r="C132" s="12" t="n">
        <v>9</v>
      </c>
      <c r="D132" s="11" t="inlineStr">
        <is>
          <t>capacidad_operativa</t>
        </is>
      </c>
      <c r="E132" s="12" t="inlineStr">
        <is>
          <t>Texto (40)</t>
        </is>
      </c>
      <c r="F132" s="12" t="inlineStr">
        <is>
          <t>No</t>
        </is>
      </c>
      <c r="G132" s="12" t="inlineStr">
        <is>
          <t>ej. 350 tn/h · 120 tn</t>
        </is>
      </c>
      <c r="H132" s="12" t="inlineStr">
        <is>
          <t>No</t>
        </is>
      </c>
      <c r="I132" s="12" t="inlineStr">
        <is>
          <t>—</t>
        </is>
      </c>
      <c r="J132" s="12" t="inlineStr">
        <is>
          <t>Modelo</t>
        </is>
      </c>
      <c r="K132" s="12" t="inlineStr">
        <is>
          <t>propio</t>
        </is>
      </c>
      <c r="L132" s="12" t="inlineStr">
        <is>
          <t>— (nuevo)</t>
        </is>
      </c>
      <c r="M132" s="10" t="inlineStr">
        <is>
          <t>Pendiente</t>
        </is>
      </c>
      <c r="N132" s="10" t="n"/>
    </row>
    <row r="133">
      <c r="A133" s="9" t="inlineStr">
        <is>
          <t>M-12</t>
        </is>
      </c>
      <c r="B133" s="9" t="inlineStr">
        <is>
          <t>Maquinaria</t>
        </is>
      </c>
      <c r="C133" s="9" t="n">
        <v>11</v>
      </c>
      <c r="D133" s="8" t="inlineStr">
        <is>
          <t>estado</t>
        </is>
      </c>
      <c r="E133" s="9" t="inlineStr">
        <is>
          <t>Enumerado</t>
        </is>
      </c>
      <c r="F133" s="9" t="inlineStr">
        <is>
          <t>Sí</t>
        </is>
      </c>
      <c r="G133" s="9" t="inlineStr">
        <is>
          <t>operativo · en mantenimiento · fuera de tipo_servicio</t>
        </is>
      </c>
      <c r="H133" s="9" t="inlineStr">
        <is>
          <t>No</t>
        </is>
      </c>
      <c r="I133" s="9" t="inlineStr">
        <is>
          <t>—</t>
        </is>
      </c>
      <c r="J133" s="9" t="inlineStr">
        <is>
          <t>Modelo</t>
        </is>
      </c>
      <c r="K133" s="9" t="inlineStr">
        <is>
          <t>propio</t>
        </is>
      </c>
      <c r="L133" s="9" t="inlineStr">
        <is>
          <t>MD-27.estado · MD-28.estado</t>
        </is>
      </c>
      <c r="M133" s="10" t="inlineStr">
        <is>
          <t>Pendiente</t>
        </is>
      </c>
      <c r="N133" s="10" t="n"/>
    </row>
    <row r="134">
      <c r="A134" s="17" t="inlineStr">
        <is>
          <t>M-12</t>
        </is>
      </c>
      <c r="B134" s="17" t="inlineStr">
        <is>
          <t>Maquinaria</t>
        </is>
      </c>
      <c r="C134" s="17" t="n">
        <v>12</v>
      </c>
      <c r="D134" s="18" t="inlineStr">
        <is>
          <t>costo_hora_referencia ★</t>
        </is>
      </c>
      <c r="E134" s="17" t="inlineStr">
        <is>
          <t>Decimal (12,4)</t>
        </is>
      </c>
      <c r="F134" s="17" t="inlineStr">
        <is>
          <t>No</t>
        </is>
      </c>
      <c r="G134" s="17" t="inlineStr">
        <is>
          <t>&gt; 0</t>
        </is>
      </c>
      <c r="H134" s="17" t="inlineStr">
        <is>
          <t>Sí</t>
        </is>
      </c>
      <c r="I134" s="17" t="inlineStr">
        <is>
          <t>Valor hora para el costo estimado</t>
        </is>
      </c>
      <c r="J134" s="17" t="inlineStr">
        <is>
          <t>★ Simulador</t>
        </is>
      </c>
      <c r="K134" s="17" t="inlineStr">
        <is>
          <t>propio</t>
        </is>
      </c>
      <c r="L134" s="17" t="inlineStr">
        <is>
          <t>MD-27.costo_hora_referencia</t>
        </is>
      </c>
      <c r="M134" s="10" t="inlineStr">
        <is>
          <t>Pendiente</t>
        </is>
      </c>
      <c r="N134" s="10" t="n"/>
    </row>
    <row r="135">
      <c r="A135" s="17" t="inlineStr">
        <is>
          <t>M-12</t>
        </is>
      </c>
      <c r="B135" s="17" t="inlineStr">
        <is>
          <t>Maquinaria</t>
        </is>
      </c>
      <c r="C135" s="17" t="n">
        <v>13</v>
      </c>
      <c r="D135" s="18" t="inlineStr">
        <is>
          <t>proximo_mantenimiento_h ★</t>
        </is>
      </c>
      <c r="E135" s="17" t="inlineStr">
        <is>
          <t>Decimal (10,1)</t>
        </is>
      </c>
      <c r="F135" s="17" t="inlineStr">
        <is>
          <t>No</t>
        </is>
      </c>
      <c r="G135" s="17" t="inlineStr">
        <is>
          <t>≥ horómetro</t>
        </is>
      </c>
      <c r="H135" s="17" t="inlineStr">
        <is>
          <t>No</t>
        </is>
      </c>
      <c r="I135" s="17" t="inlineStr">
        <is>
          <t>Horómetro al que vence la preventiva; vencida no es asignable</t>
        </is>
      </c>
      <c r="J135" s="17" t="inlineStr">
        <is>
          <t>★ Simulador</t>
        </is>
      </c>
      <c r="K135" s="17" t="inlineStr">
        <is>
          <t>propio</t>
        </is>
      </c>
      <c r="L135" s="17" t="inlineStr">
        <is>
          <t>— (nuevo)</t>
        </is>
      </c>
      <c r="M135" s="10" t="inlineStr">
        <is>
          <t>Pendiente</t>
        </is>
      </c>
      <c r="N135" s="10" t="n"/>
    </row>
    <row r="136">
      <c r="A136" s="12" t="inlineStr">
        <is>
          <t>M-12</t>
        </is>
      </c>
      <c r="B136" s="12" t="inlineStr">
        <is>
          <t>Maquinaria</t>
        </is>
      </c>
      <c r="C136" s="12" t="n">
        <v>10</v>
      </c>
      <c r="D136" s="11" t="inlineStr">
        <is>
          <t>metodo_seguro</t>
        </is>
      </c>
      <c r="E136" s="12" t="inlineStr">
        <is>
          <t>Ref. M-34 (múltiple)</t>
        </is>
      </c>
      <c r="F136" s="12" t="inlineStr">
        <is>
          <t>Sí</t>
        </is>
      </c>
      <c r="G136" s="12" t="inlineStr">
        <is>
          <t>uno o más MS vigentes</t>
        </is>
      </c>
      <c r="H136" s="12" t="inlineStr">
        <is>
          <t>No</t>
        </is>
      </c>
      <c r="I136" s="12" t="inlineStr">
        <is>
          <t>Método seguro de operación del equipo. Vencido → sin disponibilidad</t>
        </is>
      </c>
      <c r="J136" s="12" t="inlineStr">
        <is>
          <t>Revisión 15/09/2026</t>
        </is>
      </c>
      <c r="K136" s="12" t="inlineStr">
        <is>
          <t>propio</t>
        </is>
      </c>
      <c r="L136" s="12" t="inlineStr">
        <is>
          <t>— (nuevo)</t>
        </is>
      </c>
      <c r="M136" s="10" t="inlineStr">
        <is>
          <t>Pendiente</t>
        </is>
      </c>
      <c r="N136" s="10" t="n"/>
    </row>
    <row r="137" ht="25" customHeight="1">
      <c r="A137" s="16" t="inlineStr">
        <is>
          <t>M-13</t>
        </is>
      </c>
      <c r="B137" s="16" t="inlineStr">
        <is>
          <t>Personal contratado</t>
        </is>
      </c>
      <c r="C137" s="16" t="n">
        <v>1</v>
      </c>
      <c r="D137" s="15" t="inlineStr">
        <is>
          <t>proveedor</t>
        </is>
      </c>
      <c r="E137" s="16" t="inlineStr">
        <is>
          <t>Ref. M-06</t>
        </is>
      </c>
      <c r="F137" s="16" t="inlineStr">
        <is>
          <t>Sí</t>
        </is>
      </c>
      <c r="G137" s="16" t="inlineStr">
        <is>
          <t>—</t>
        </is>
      </c>
      <c r="H137" s="16" t="inlineStr">
        <is>
          <t>No</t>
        </is>
      </c>
      <c r="I137" s="16" t="inlineStr">
        <is>
          <t>—</t>
        </is>
      </c>
      <c r="J137" s="16" t="inlineStr">
        <is>
          <t>Modelo</t>
        </is>
      </c>
      <c r="K137" s="16" t="inlineStr">
        <is>
          <t>propio</t>
        </is>
      </c>
      <c r="L137" s="16" t="inlineStr">
        <is>
          <t>MD-07.proveedor</t>
        </is>
      </c>
      <c r="M137" s="10" t="inlineStr">
        <is>
          <t>Pendiente</t>
        </is>
      </c>
      <c r="N137" s="10" t="n"/>
    </row>
    <row r="138">
      <c r="A138" s="9" t="inlineStr">
        <is>
          <t>M-13</t>
        </is>
      </c>
      <c r="B138" s="9" t="inlineStr">
        <is>
          <t>Personal contratado</t>
        </is>
      </c>
      <c r="C138" s="9" t="n">
        <v>2</v>
      </c>
      <c r="D138" s="8" t="inlineStr">
        <is>
          <t>convenio</t>
        </is>
      </c>
      <c r="E138" s="9" t="inlineStr">
        <is>
          <t>Texto (80)</t>
        </is>
      </c>
      <c r="F138" s="9" t="inlineStr">
        <is>
          <t>Sí</t>
        </is>
      </c>
      <c r="G138" s="9" t="inlineStr">
        <is>
          <t>—</t>
        </is>
      </c>
      <c r="H138" s="9" t="inlineStr">
        <is>
          <t>No</t>
        </is>
      </c>
      <c r="I138" s="9" t="inlineStr">
        <is>
          <t>—</t>
        </is>
      </c>
      <c r="J138" s="9" t="inlineStr">
        <is>
          <t>Modelo</t>
        </is>
      </c>
      <c r="K138" s="9" t="inlineStr">
        <is>
          <t>propio</t>
        </is>
      </c>
      <c r="L138" s="9" t="inlineStr">
        <is>
          <t>MD-07.convenio</t>
        </is>
      </c>
      <c r="M138" s="10" t="inlineStr">
        <is>
          <t>Pendiente</t>
        </is>
      </c>
      <c r="N138" s="10" t="n"/>
    </row>
    <row r="139">
      <c r="A139" s="16" t="inlineStr">
        <is>
          <t>M-13</t>
        </is>
      </c>
      <c r="B139" s="16" t="inlineStr">
        <is>
          <t>Personal contratado</t>
        </is>
      </c>
      <c r="C139" s="16" t="n">
        <v>3</v>
      </c>
      <c r="D139" s="15" t="inlineStr">
        <is>
          <t>categoria</t>
        </is>
      </c>
      <c r="E139" s="16" t="inlineStr">
        <is>
          <t>Texto (60)</t>
        </is>
      </c>
      <c r="F139" s="16" t="inlineStr">
        <is>
          <t>Sí</t>
        </is>
      </c>
      <c r="G139" s="16" t="inlineStr">
        <is>
          <t>—</t>
        </is>
      </c>
      <c r="H139" s="16" t="inlineStr">
        <is>
          <t>No</t>
        </is>
      </c>
      <c r="I139" s="16" t="inlineStr">
        <is>
          <t>—</t>
        </is>
      </c>
      <c r="J139" s="16" t="inlineStr">
        <is>
          <t>Modelo</t>
        </is>
      </c>
      <c r="K139" s="16" t="inlineStr">
        <is>
          <t>propio</t>
        </is>
      </c>
      <c r="L139" s="16" t="inlineStr">
        <is>
          <t>MD-07.categoria</t>
        </is>
      </c>
      <c r="M139" s="10" t="inlineStr">
        <is>
          <t>Pendiente</t>
        </is>
      </c>
      <c r="N139" s="10" t="n"/>
    </row>
    <row r="140">
      <c r="A140" s="9" t="inlineStr">
        <is>
          <t>M-13</t>
        </is>
      </c>
      <c r="B140" s="9" t="inlineStr">
        <is>
          <t>Personal contratado</t>
        </is>
      </c>
      <c r="C140" s="9" t="n">
        <v>5</v>
      </c>
      <c r="D140" s="8" t="inlineStr">
        <is>
          <t>tarifa_mano</t>
        </is>
      </c>
      <c r="E140" s="9" t="inlineStr">
        <is>
          <t>Decimal (14,4)</t>
        </is>
      </c>
      <c r="F140" s="9" t="inlineStr">
        <is>
          <t>Sí</t>
        </is>
      </c>
      <c r="G140" s="9" t="inlineStr">
        <is>
          <t>&gt; 0</t>
        </is>
      </c>
      <c r="H140" s="9" t="inlineStr">
        <is>
          <t>Sí</t>
        </is>
      </c>
      <c r="I140" s="9" t="inlineStr">
        <is>
          <t>—</t>
        </is>
      </c>
      <c r="J140" s="9" t="inlineStr">
        <is>
          <t>Modelo</t>
        </is>
      </c>
      <c r="K140" s="9" t="inlineStr">
        <is>
          <t>propio</t>
        </is>
      </c>
      <c r="L140" s="9" t="inlineStr">
        <is>
          <t>MD-07.tarifa_mano</t>
        </is>
      </c>
      <c r="M140" s="10" t="inlineStr">
        <is>
          <t>Pendiente</t>
        </is>
      </c>
      <c r="N140" s="10" t="n"/>
    </row>
    <row r="141" ht="25" customHeight="1">
      <c r="A141" s="16" t="inlineStr">
        <is>
          <t>M-13</t>
        </is>
      </c>
      <c r="B141" s="16" t="inlineStr">
        <is>
          <t>Personal contratado</t>
        </is>
      </c>
      <c r="C141" s="16" t="n">
        <v>6</v>
      </c>
      <c r="D141" s="15" t="inlineStr">
        <is>
          <t>unidad_tarifa</t>
        </is>
      </c>
      <c r="E141" s="16" t="inlineStr">
        <is>
          <t>Enumerado</t>
        </is>
      </c>
      <c r="F141" s="16" t="inlineStr">
        <is>
          <t>Sí</t>
        </is>
      </c>
      <c r="G141" s="16" t="inlineStr">
        <is>
          <t>por turno · por hora · por tonelada · por mano</t>
        </is>
      </c>
      <c r="H141" s="16" t="inlineStr">
        <is>
          <t>No</t>
        </is>
      </c>
      <c r="I141" s="16" t="inlineStr">
        <is>
          <t>—</t>
        </is>
      </c>
      <c r="J141" s="16" t="inlineStr">
        <is>
          <t>Modelo</t>
        </is>
      </c>
      <c r="K141" s="16" t="inlineStr">
        <is>
          <t>propio</t>
        </is>
      </c>
      <c r="L141" s="16" t="inlineStr">
        <is>
          <t>MD-07.unidad_tarifa</t>
        </is>
      </c>
      <c r="M141" s="10" t="inlineStr">
        <is>
          <t>Pendiente</t>
        </is>
      </c>
      <c r="N141" s="10" t="n"/>
    </row>
    <row r="142" ht="37.5" customHeight="1">
      <c r="A142" s="9" t="inlineStr">
        <is>
          <t>M-13</t>
        </is>
      </c>
      <c r="B142" s="9" t="inlineStr">
        <is>
          <t>Personal contratado</t>
        </is>
      </c>
      <c r="C142" s="9" t="n">
        <v>7</v>
      </c>
      <c r="D142" s="8" t="inlineStr">
        <is>
          <t>moneda</t>
        </is>
      </c>
      <c r="E142" s="9" t="inlineStr">
        <is>
          <t>Ref. M-18</t>
        </is>
      </c>
      <c r="F142" s="9" t="inlineStr">
        <is>
          <t>Sí</t>
        </is>
      </c>
      <c r="G142" s="9" t="inlineStr">
        <is>
          <t>—</t>
        </is>
      </c>
      <c r="H142" s="9" t="inlineStr">
        <is>
          <t>No</t>
        </is>
      </c>
      <c r="I142" s="9" t="inlineStr">
        <is>
          <t>—</t>
        </is>
      </c>
      <c r="J142" s="9" t="inlineStr">
        <is>
          <t>Modelo</t>
        </is>
      </c>
      <c r="K142" s="9" t="inlineStr">
        <is>
          <t>propio</t>
        </is>
      </c>
      <c r="L142" s="9" t="inlineStr">
        <is>
          <t>MD-07.moneda</t>
        </is>
      </c>
      <c r="M142" s="10" t="inlineStr">
        <is>
          <t>Pendiente</t>
        </is>
      </c>
      <c r="N142" s="10" t="n"/>
    </row>
    <row r="143" ht="25" customHeight="1">
      <c r="A143" s="16" t="inlineStr">
        <is>
          <t>M-13</t>
        </is>
      </c>
      <c r="B143" s="16" t="inlineStr">
        <is>
          <t>Personal contratado</t>
        </is>
      </c>
      <c r="C143" s="16" t="n">
        <v>8</v>
      </c>
      <c r="D143" s="15" t="inlineStr">
        <is>
          <t>centro_costo</t>
        </is>
      </c>
      <c r="E143" s="16" t="inlineStr">
        <is>
          <t>Ref. M-02</t>
        </is>
      </c>
      <c r="F143" s="16" t="inlineStr">
        <is>
          <t>Sí</t>
        </is>
      </c>
      <c r="G143" s="16" t="inlineStr">
        <is>
          <t>—</t>
        </is>
      </c>
      <c r="H143" s="16" t="inlineStr">
        <is>
          <t>No</t>
        </is>
      </c>
      <c r="I143" s="16" t="inlineStr">
        <is>
          <t>—</t>
        </is>
      </c>
      <c r="J143" s="16" t="inlineStr">
        <is>
          <t>Modelo</t>
        </is>
      </c>
      <c r="K143" s="16" t="inlineStr">
        <is>
          <t>propio</t>
        </is>
      </c>
      <c r="L143" s="16" t="inlineStr">
        <is>
          <t>MD-07.cuenta_costo · MD-07.cuenta_costo</t>
        </is>
      </c>
      <c r="M143" s="10" t="inlineStr">
        <is>
          <t>Pendiente</t>
        </is>
      </c>
      <c r="N143" s="10" t="n"/>
    </row>
    <row r="144" ht="25" customHeight="1">
      <c r="A144" s="9" t="inlineStr">
        <is>
          <t>M-13</t>
        </is>
      </c>
      <c r="B144" s="9" t="inlineStr">
        <is>
          <t>Personal contratado</t>
        </is>
      </c>
      <c r="C144" s="9" t="n">
        <v>10</v>
      </c>
      <c r="D144" s="8" t="inlineStr">
        <is>
          <t>estado</t>
        </is>
      </c>
      <c r="E144" s="9" t="inlineStr">
        <is>
          <t>Enumerado</t>
        </is>
      </c>
      <c r="F144" s="9" t="inlineStr">
        <is>
          <t>Sí</t>
        </is>
      </c>
      <c r="G144" s="9" t="inlineStr">
        <is>
          <t>activa · suspendida</t>
        </is>
      </c>
      <c r="H144" s="9" t="inlineStr">
        <is>
          <t>No</t>
        </is>
      </c>
      <c r="I144" s="9" t="inlineStr">
        <is>
          <t>—</t>
        </is>
      </c>
      <c r="J144" s="9" t="inlineStr">
        <is>
          <t>Modelo</t>
        </is>
      </c>
      <c r="K144" s="9" t="inlineStr">
        <is>
          <t>propio</t>
        </is>
      </c>
      <c r="L144" s="9" t="inlineStr">
        <is>
          <t>MD-07.estado</t>
        </is>
      </c>
      <c r="M144" s="10" t="inlineStr">
        <is>
          <t>Pendiente</t>
        </is>
      </c>
      <c r="N144" s="10" t="n"/>
    </row>
    <row r="145">
      <c r="A145" s="17" t="inlineStr">
        <is>
          <t>M-13</t>
        </is>
      </c>
      <c r="B145" s="17" t="inlineStr">
        <is>
          <t>Personal contratado</t>
        </is>
      </c>
      <c r="C145" s="17" t="n">
        <v>11</v>
      </c>
      <c r="D145" s="18" t="inlineStr">
        <is>
          <t>vigencia_desde_hasta ★</t>
        </is>
      </c>
      <c r="E145" s="17" t="inlineStr">
        <is>
          <t>Fecha</t>
        </is>
      </c>
      <c r="F145" s="17" t="inlineStr">
        <is>
          <t>No</t>
        </is>
      </c>
      <c r="G145" s="17" t="inlineStr">
        <is>
          <t>desde → hasta</t>
        </is>
      </c>
      <c r="H145" s="17" t="inlineStr">
        <is>
          <t>No</t>
        </is>
      </c>
      <c r="I145" s="17" t="inlineStr">
        <is>
          <t>Vigencia de la tarifa</t>
        </is>
      </c>
      <c r="J145" s="17" t="inlineStr">
        <is>
          <t>★ Simulador</t>
        </is>
      </c>
      <c r="K145" s="17" t="inlineStr">
        <is>
          <t>propio</t>
        </is>
      </c>
      <c r="L145" s="17" t="inlineStr">
        <is>
          <t>MD-07.vigencia_desde_hasta</t>
        </is>
      </c>
      <c r="M145" s="10" t="inlineStr">
        <is>
          <t>Pendiente</t>
        </is>
      </c>
      <c r="N145" s="10" t="n"/>
    </row>
    <row r="146">
      <c r="A146" s="12" t="inlineStr">
        <is>
          <t>M-13</t>
        </is>
      </c>
      <c r="B146" s="12" t="inlineStr">
        <is>
          <t>Personal contratado</t>
        </is>
      </c>
      <c r="C146" s="12" t="n">
        <v>4</v>
      </c>
      <c r="D146" s="11" t="inlineStr">
        <is>
          <t>composicion_roles</t>
        </is>
      </c>
      <c r="E146" s="12" t="inlineStr">
        <is>
          <t>Texto (120)</t>
        </is>
      </c>
      <c r="F146" s="12" t="inlineStr">
        <is>
          <t>No</t>
        </is>
      </c>
      <c r="G146" s="12" t="inlineStr">
        <is>
          <t>ej. 8 estibadores · 1 capataz · 1 apuntador</t>
        </is>
      </c>
      <c r="H146" s="12" t="inlineStr">
        <is>
          <t>No</t>
        </is>
      </c>
      <c r="I146" s="12" t="inlineStr">
        <is>
          <t>Roles y cantidad de personas que integran la mano. Se planifica por recurso (categoría × cantidad de manos), nunca por nombre</t>
        </is>
      </c>
      <c r="J146" s="12" t="inlineStr">
        <is>
          <t>Revisión 15/09/2026</t>
        </is>
      </c>
      <c r="K146" s="12" t="inlineStr">
        <is>
          <t>propio</t>
        </is>
      </c>
      <c r="L146" s="12" t="inlineStr">
        <is>
          <t>— (nuevo)</t>
        </is>
      </c>
      <c r="M146" s="10" t="inlineStr">
        <is>
          <t>Pendiente</t>
        </is>
      </c>
      <c r="N146" s="10" t="n"/>
    </row>
    <row r="147">
      <c r="A147" s="12" t="inlineStr">
        <is>
          <t>M-13</t>
        </is>
      </c>
      <c r="B147" s="12" t="inlineStr">
        <is>
          <t>Personal contratado</t>
        </is>
      </c>
      <c r="C147" s="12" t="n">
        <v>9</v>
      </c>
      <c r="D147" s="11" t="inlineStr">
        <is>
          <t>metodo_seguro</t>
        </is>
      </c>
      <c r="E147" s="12" t="inlineStr">
        <is>
          <t>Ref. M-34 (múltiple)</t>
        </is>
      </c>
      <c r="F147" s="12" t="inlineStr">
        <is>
          <t>Sí</t>
        </is>
      </c>
      <c r="G147" s="12" t="inlineStr">
        <is>
          <t>uno o más MS vigentes</t>
        </is>
      </c>
      <c r="H147" s="12" t="inlineStr">
        <is>
          <t>No</t>
        </is>
      </c>
      <c r="I147" s="12" t="inlineStr">
        <is>
          <t>Método seguro de la mano de estiba (trabajo en bodega, EPP). Vencido → sin disponibilidad</t>
        </is>
      </c>
      <c r="J147" s="12" t="inlineStr">
        <is>
          <t>Revisión 15/09/2026</t>
        </is>
      </c>
      <c r="K147" s="12" t="inlineStr">
        <is>
          <t>propio</t>
        </is>
      </c>
      <c r="L147" s="12" t="inlineStr">
        <is>
          <t>— (nuevo)</t>
        </is>
      </c>
      <c r="M147" s="10" t="inlineStr">
        <is>
          <t>Pendiente</t>
        </is>
      </c>
      <c r="N147" s="10" t="n"/>
    </row>
    <row r="148">
      <c r="A148" s="9" t="inlineStr">
        <is>
          <t>M-14</t>
        </is>
      </c>
      <c r="B148" s="9" t="inlineStr">
        <is>
          <t>Tipos de servicios</t>
        </is>
      </c>
      <c r="C148" s="9" t="n">
        <v>1</v>
      </c>
      <c r="D148" s="8" t="inlineStr">
        <is>
          <t>codigo</t>
        </is>
      </c>
      <c r="E148" s="9" t="inlineStr">
        <is>
          <t>Código (12)</t>
        </is>
      </c>
      <c r="F148" s="9" t="inlineStr">
        <is>
          <t>Sí</t>
        </is>
      </c>
      <c r="G148" s="9" t="inlineStr">
        <is>
          <t>—</t>
        </is>
      </c>
      <c r="H148" s="9" t="inlineStr">
        <is>
          <t>No</t>
        </is>
      </c>
      <c r="I148" s="9" t="inlineStr">
        <is>
          <t>—</t>
        </is>
      </c>
      <c r="J148" s="9" t="inlineStr">
        <is>
          <t>Modelo</t>
        </is>
      </c>
      <c r="K148" s="9" t="inlineStr">
        <is>
          <t>propio</t>
        </is>
      </c>
      <c r="L148" s="9" t="inlineStr">
        <is>
          <t>MD-09.codigo · MD-12.codigo</t>
        </is>
      </c>
      <c r="M148" s="10" t="inlineStr">
        <is>
          <t>Pendiente</t>
        </is>
      </c>
      <c r="N148" s="10" t="n"/>
    </row>
    <row r="149">
      <c r="A149" s="16" t="inlineStr">
        <is>
          <t>M-14</t>
        </is>
      </c>
      <c r="B149" s="16" t="inlineStr">
        <is>
          <t>Tipos de servicios</t>
        </is>
      </c>
      <c r="C149" s="16" t="n">
        <v>2</v>
      </c>
      <c r="D149" s="15" t="inlineStr">
        <is>
          <t>nombre</t>
        </is>
      </c>
      <c r="E149" s="16" t="inlineStr">
        <is>
          <t>Texto (120)</t>
        </is>
      </c>
      <c r="F149" s="16" t="inlineStr">
        <is>
          <t>Sí</t>
        </is>
      </c>
      <c r="G149" s="16" t="inlineStr">
        <is>
          <t>—</t>
        </is>
      </c>
      <c r="H149" s="16" t="inlineStr">
        <is>
          <t>No</t>
        </is>
      </c>
      <c r="I149" s="16" t="inlineStr">
        <is>
          <t>—</t>
        </is>
      </c>
      <c r="J149" s="16" t="inlineStr">
        <is>
          <t>Modelo</t>
        </is>
      </c>
      <c r="K149" s="16" t="inlineStr">
        <is>
          <t>propio</t>
        </is>
      </c>
      <c r="L149" s="16" t="inlineStr">
        <is>
          <t>MD-09.nombre · MD-12.nombre</t>
        </is>
      </c>
      <c r="M149" s="10" t="inlineStr">
        <is>
          <t>Pendiente</t>
        </is>
      </c>
      <c r="N149" s="10" t="n"/>
    </row>
    <row r="150" ht="25" customHeight="1">
      <c r="A150" s="12" t="inlineStr">
        <is>
          <t>M-14</t>
        </is>
      </c>
      <c r="B150" s="12" t="inlineStr">
        <is>
          <t>Tipos de servicios</t>
        </is>
      </c>
      <c r="C150" s="12" t="n">
        <v>3</v>
      </c>
      <c r="D150" s="11" t="inlineStr">
        <is>
          <t>componentes</t>
        </is>
      </c>
      <c r="E150" s="12" t="inlineStr">
        <is>
          <t>Enumerado (múltiple)</t>
        </is>
      </c>
      <c r="F150" s="12" t="inlineStr">
        <is>
          <t>Sí</t>
        </is>
      </c>
      <c r="G150" s="12" t="inlineStr">
        <is>
          <t>descarga · carga · transporte · almacenaje · recepcion · despacho · movimiento · alquiler · flete · trasbordo</t>
        </is>
      </c>
      <c r="H150" s="12" t="inlineStr">
        <is>
          <t>No</t>
        </is>
      </c>
      <c r="I150" s="12" t="inlineStr">
        <is>
          <t>—</t>
        </is>
      </c>
      <c r="J150" s="12" t="inlineStr">
        <is>
          <t>Modelo</t>
        </is>
      </c>
      <c r="K150" s="12" t="inlineStr">
        <is>
          <t>propio</t>
        </is>
      </c>
      <c r="L150" s="12" t="inlineStr">
        <is>
          <t>— (nuevo)</t>
        </is>
      </c>
      <c r="M150" s="10" t="inlineStr">
        <is>
          <t>Pendiente</t>
        </is>
      </c>
      <c r="N150" s="10" t="n"/>
    </row>
    <row r="151">
      <c r="A151" s="12" t="inlineStr">
        <is>
          <t>M-14</t>
        </is>
      </c>
      <c r="B151" s="12" t="inlineStr">
        <is>
          <t>Tipos de servicios</t>
        </is>
      </c>
      <c r="C151" s="12" t="n">
        <v>4</v>
      </c>
      <c r="D151" s="11" t="inlineStr">
        <is>
          <t>origen</t>
        </is>
      </c>
      <c r="E151" s="12" t="inlineStr">
        <is>
          <t>Enumerado</t>
        </is>
      </c>
      <c r="F151" s="12" t="inlineStr">
        <is>
          <t>Sí</t>
        </is>
      </c>
      <c r="G151" s="12" t="inlineStr">
        <is>
          <t>lineup · recepcion · despacho · movimiento · alquiler · flete · solicitud</t>
        </is>
      </c>
      <c r="H151" s="12" t="inlineStr">
        <is>
          <t>No</t>
        </is>
      </c>
      <c r="I151" s="12" t="inlineStr">
        <is>
          <t>Desde dónde se crea el operativo</t>
        </is>
      </c>
      <c r="J151" s="12" t="inlineStr">
        <is>
          <t>Modelo</t>
        </is>
      </c>
      <c r="K151" s="12" t="inlineStr">
        <is>
          <t>propio</t>
        </is>
      </c>
      <c r="L151" s="12" t="inlineStr">
        <is>
          <t>— (nuevo)</t>
        </is>
      </c>
      <c r="M151" s="10" t="inlineStr">
        <is>
          <t>Pendiente</t>
        </is>
      </c>
      <c r="N151" s="10" t="n"/>
    </row>
    <row r="152" ht="25" customHeight="1">
      <c r="A152" s="12" t="inlineStr">
        <is>
          <t>M-14</t>
        </is>
      </c>
      <c r="B152" s="12" t="inlineStr">
        <is>
          <t>Tipos de servicios</t>
        </is>
      </c>
      <c r="C152" s="12" t="n">
        <v>5</v>
      </c>
      <c r="D152" s="11" t="inlineStr">
        <is>
          <t>recursos</t>
        </is>
      </c>
      <c r="E152" s="12" t="inlineStr">
        <is>
          <t>Enumerado (múltiple)</t>
        </is>
      </c>
      <c r="F152" s="12" t="inlineStr">
        <is>
          <t>Sí</t>
        </is>
      </c>
      <c r="G152" s="12" t="inlineStr">
        <is>
          <t>muelle · manos · maquinaria · flota · balanza · deposito</t>
        </is>
      </c>
      <c r="H152" s="12" t="inlineStr">
        <is>
          <t>No</t>
        </is>
      </c>
      <c r="I152" s="12" t="inlineStr">
        <is>
          <t>—</t>
        </is>
      </c>
      <c r="J152" s="12" t="inlineStr">
        <is>
          <t>Modelo</t>
        </is>
      </c>
      <c r="K152" s="12" t="inlineStr">
        <is>
          <t>propio</t>
        </is>
      </c>
      <c r="L152" s="12" t="inlineStr">
        <is>
          <t>— (nuevo)</t>
        </is>
      </c>
      <c r="M152" s="10" t="inlineStr">
        <is>
          <t>Pendiente</t>
        </is>
      </c>
      <c r="N152" s="10" t="n"/>
    </row>
    <row r="153">
      <c r="A153" s="12" t="inlineStr">
        <is>
          <t>M-14</t>
        </is>
      </c>
      <c r="B153" s="12" t="inlineStr">
        <is>
          <t>Tipos de servicios</t>
        </is>
      </c>
      <c r="C153" s="12" t="n">
        <v>6</v>
      </c>
      <c r="D153" s="11" t="inlineStr">
        <is>
          <t>controles</t>
        </is>
      </c>
      <c r="E153" s="12" t="inlineStr">
        <is>
          <t>Texto (250)</t>
        </is>
      </c>
      <c r="F153" s="12" t="inlineStr">
        <is>
          <t>Sí</t>
        </is>
      </c>
      <c r="G153" s="12" t="inlineStr">
        <is>
          <t>controles obligatorios antes de ejecutar</t>
        </is>
      </c>
      <c r="H153" s="12" t="inlineStr">
        <is>
          <t>No</t>
        </is>
      </c>
      <c r="I153" s="12" t="inlineStr">
        <is>
          <t>—</t>
        </is>
      </c>
      <c r="J153" s="12" t="inlineStr">
        <is>
          <t>Modelo</t>
        </is>
      </c>
      <c r="K153" s="12" t="inlineStr">
        <is>
          <t>propio</t>
        </is>
      </c>
      <c r="L153" s="12" t="inlineStr">
        <is>
          <t>— (nuevo)</t>
        </is>
      </c>
      <c r="M153" s="10" t="inlineStr">
        <is>
          <t>Pendiente</t>
        </is>
      </c>
      <c r="N153" s="10" t="n"/>
    </row>
    <row r="154" ht="25" customHeight="1">
      <c r="A154" s="12" t="inlineStr">
        <is>
          <t>M-14</t>
        </is>
      </c>
      <c r="B154" s="12" t="inlineStr">
        <is>
          <t>Tipos de servicios</t>
        </is>
      </c>
      <c r="C154" s="12" t="n">
        <v>7</v>
      </c>
      <c r="D154" s="11" t="inlineStr">
        <is>
          <t>etapas</t>
        </is>
      </c>
      <c r="E154" s="12" t="inlineStr">
        <is>
          <t>Texto (120)</t>
        </is>
      </c>
      <c r="F154" s="12" t="inlineStr">
        <is>
          <t>No</t>
        </is>
      </c>
      <c r="G154" s="12" t="inlineStr">
        <is>
          <t>pasos del workflow que aplica (calculado)</t>
        </is>
      </c>
      <c r="H154" s="12" t="inlineStr">
        <is>
          <t>No</t>
        </is>
      </c>
      <c r="I154" s="12" t="inlineStr">
        <is>
          <t>—</t>
        </is>
      </c>
      <c r="J154" s="12" t="inlineStr">
        <is>
          <t>Modelo</t>
        </is>
      </c>
      <c r="K154" s="12" t="inlineStr">
        <is>
          <t>propio</t>
        </is>
      </c>
      <c r="L154" s="12" t="inlineStr">
        <is>
          <t>— (nuevo)</t>
        </is>
      </c>
      <c r="M154" s="10" t="inlineStr">
        <is>
          <t>Pendiente</t>
        </is>
      </c>
      <c r="N154" s="10" t="n"/>
    </row>
    <row r="155">
      <c r="A155" s="16" t="inlineStr">
        <is>
          <t>M-14</t>
        </is>
      </c>
      <c r="B155" s="16" t="inlineStr">
        <is>
          <t>Tipos de servicios</t>
        </is>
      </c>
      <c r="C155" s="16" t="n">
        <v>8</v>
      </c>
      <c r="D155" s="15" t="inlineStr">
        <is>
          <t>unidad_cuantificacion</t>
        </is>
      </c>
      <c r="E155" s="16" t="inlineStr">
        <is>
          <t>Enumerado</t>
        </is>
      </c>
      <c r="F155" s="16" t="inlineStr">
        <is>
          <t>Sí</t>
        </is>
      </c>
      <c r="G155" s="16" t="inlineStr">
        <is>
          <t>tonelada · hora · día · viaje · camión</t>
        </is>
      </c>
      <c r="H155" s="16" t="inlineStr">
        <is>
          <t>No</t>
        </is>
      </c>
      <c r="I155" s="16" t="inlineStr">
        <is>
          <t>—</t>
        </is>
      </c>
      <c r="J155" s="16" t="inlineStr">
        <is>
          <t>Modelo</t>
        </is>
      </c>
      <c r="K155" s="16" t="inlineStr">
        <is>
          <t>propio</t>
        </is>
      </c>
      <c r="L155" s="16" t="inlineStr">
        <is>
          <t>MD-09.unidad_cuantificacion</t>
        </is>
      </c>
      <c r="M155" s="10" t="inlineStr">
        <is>
          <t>Pendiente</t>
        </is>
      </c>
      <c r="N155" s="10" t="n"/>
    </row>
    <row r="156">
      <c r="A156" s="9" t="inlineStr">
        <is>
          <t>M-14</t>
        </is>
      </c>
      <c r="B156" s="9" t="inlineStr">
        <is>
          <t>Tipos de servicios</t>
        </is>
      </c>
      <c r="C156" s="9" t="n">
        <v>10</v>
      </c>
      <c r="D156" s="8" t="inlineStr">
        <is>
          <t>estado</t>
        </is>
      </c>
      <c r="E156" s="9" t="inlineStr">
        <is>
          <t>Enumerado</t>
        </is>
      </c>
      <c r="F156" s="9" t="inlineStr">
        <is>
          <t>Sí</t>
        </is>
      </c>
      <c r="G156" s="9" t="inlineStr">
        <is>
          <t>activo · discontinuado</t>
        </is>
      </c>
      <c r="H156" s="9" t="inlineStr">
        <is>
          <t>No</t>
        </is>
      </c>
      <c r="I156" s="9" t="inlineStr">
        <is>
          <t>—</t>
        </is>
      </c>
      <c r="J156" s="9" t="inlineStr">
        <is>
          <t>Modelo</t>
        </is>
      </c>
      <c r="K156" s="9" t="inlineStr">
        <is>
          <t>propio</t>
        </is>
      </c>
      <c r="L156" s="9" t="inlineStr">
        <is>
          <t>MD-09.estado · MD-12.estado</t>
        </is>
      </c>
      <c r="M156" s="10" t="inlineStr">
        <is>
          <t>Pendiente</t>
        </is>
      </c>
      <c r="N156" s="10" t="n"/>
    </row>
    <row r="157">
      <c r="A157" s="37" t="inlineStr">
        <is>
          <t>M-14</t>
        </is>
      </c>
      <c r="B157" s="37" t="inlineStr">
        <is>
          <t>Tipos de servicios</t>
        </is>
      </c>
      <c r="C157" s="37" t="n">
        <v>11</v>
      </c>
      <c r="D157" s="38" t="inlineStr">
        <is>
          <t>unidades_negocio ★</t>
        </is>
      </c>
      <c r="E157" s="37" t="inlineStr">
        <is>
          <t>Ref. M-01 (múltiple)</t>
        </is>
      </c>
      <c r="F157" s="37" t="inlineStr">
        <is>
          <t>Sí</t>
        </is>
      </c>
      <c r="G157" s="37" t="inlineStr">
        <is>
          <t>—</t>
        </is>
      </c>
      <c r="H157" s="37" t="inlineStr">
        <is>
          <t>Sí</t>
        </is>
      </c>
      <c r="I157" s="37" t="inlineStr">
        <is>
          <t>Unidades de negocio que pueden vender este tipo de servicio: el selector de tipo de servicio del operativo depende de la BU elegida. · Faltaba en v3.0: definido el 10/09/2026 (el tipo de servicio depende de la BU).</t>
        </is>
      </c>
      <c r="J157" s="37" t="inlineStr">
        <is>
          <t>★ Simulador</t>
        </is>
      </c>
      <c r="K157" s="37" t="inlineStr">
        <is>
          <t>propio</t>
        </is>
      </c>
      <c r="L157" s="37" t="inlineStr">
        <is>
          <t>— (nuevo)</t>
        </is>
      </c>
      <c r="M157" s="10" t="inlineStr">
        <is>
          <t>Pendiente</t>
        </is>
      </c>
      <c r="N157" s="10" t="n"/>
    </row>
    <row r="158">
      <c r="A158" s="12" t="inlineStr">
        <is>
          <t>M-14</t>
        </is>
      </c>
      <c r="B158" s="12" t="inlineStr">
        <is>
          <t>Tipos de servicios</t>
        </is>
      </c>
      <c r="C158" s="12" t="n">
        <v>9</v>
      </c>
      <c r="D158" s="11" t="inlineStr">
        <is>
          <t>metodo_seguro</t>
        </is>
      </c>
      <c r="E158" s="12" t="inlineStr">
        <is>
          <t>Ref. M-34 (múltiple)</t>
        </is>
      </c>
      <c r="F158" s="12" t="inlineStr">
        <is>
          <t>Sí</t>
        </is>
      </c>
      <c r="G158" s="12" t="inlineStr">
        <is>
          <t>uno o más MS vigentes</t>
        </is>
      </c>
      <c r="H158" s="12" t="inlineStr">
        <is>
          <t>No</t>
        </is>
      </c>
      <c r="I158" s="12" t="inlineStr">
        <is>
          <t>Método seguro de la operación (procedimiento del tipo de servicio). Vencido → el servicio no se confirma</t>
        </is>
      </c>
      <c r="J158" s="12" t="inlineStr">
        <is>
          <t>Revisión 15/09/2026</t>
        </is>
      </c>
      <c r="K158" s="12" t="inlineStr">
        <is>
          <t>propio</t>
        </is>
      </c>
      <c r="L158" s="12" t="inlineStr">
        <is>
          <t>— (nuevo)</t>
        </is>
      </c>
      <c r="M158" s="10" t="inlineStr">
        <is>
          <t>Pendiente</t>
        </is>
      </c>
      <c r="N158" s="10" t="n"/>
    </row>
    <row r="159">
      <c r="A159" s="12" t="inlineStr">
        <is>
          <t>M-15</t>
        </is>
      </c>
      <c r="B159" s="12" t="inlineStr">
        <is>
          <t>Tarifas</t>
        </is>
      </c>
      <c r="C159" s="12" t="n">
        <v>1</v>
      </c>
      <c r="D159" s="11" t="inlineStr">
        <is>
          <t>codigo</t>
        </is>
      </c>
      <c r="E159" s="12" t="inlineStr">
        <is>
          <t>Código (10)</t>
        </is>
      </c>
      <c r="F159" s="12" t="inlineStr">
        <is>
          <t>Sí</t>
        </is>
      </c>
      <c r="G159" s="12" t="inlineStr">
        <is>
          <t>—</t>
        </is>
      </c>
      <c r="H159" s="12" t="inlineStr">
        <is>
          <t>No</t>
        </is>
      </c>
      <c r="I159" s="12" t="inlineStr">
        <is>
          <t>—</t>
        </is>
      </c>
      <c r="J159" s="12" t="inlineStr">
        <is>
          <t>Modelo</t>
        </is>
      </c>
      <c r="K159" s="12" t="inlineStr">
        <is>
          <t>propio</t>
        </is>
      </c>
      <c r="L159" s="12" t="inlineStr">
        <is>
          <t>— (nuevo)</t>
        </is>
      </c>
      <c r="M159" s="10" t="inlineStr">
        <is>
          <t>Pendiente</t>
        </is>
      </c>
      <c r="N159" s="10" t="n"/>
    </row>
    <row r="160">
      <c r="A160" s="9" t="inlineStr">
        <is>
          <t>M-15</t>
        </is>
      </c>
      <c r="B160" s="9" t="inlineStr">
        <is>
          <t>Tarifas</t>
        </is>
      </c>
      <c r="C160" s="9" t="n">
        <v>2</v>
      </c>
      <c r="D160" s="8" t="inlineStr">
        <is>
          <t>tipo_servicio</t>
        </is>
      </c>
      <c r="E160" s="9" t="inlineStr">
        <is>
          <t>Ref. M-14</t>
        </is>
      </c>
      <c r="F160" s="9" t="inlineStr">
        <is>
          <t>Sí</t>
        </is>
      </c>
      <c r="G160" s="9" t="inlineStr">
        <is>
          <t>—</t>
        </is>
      </c>
      <c r="H160" s="9" t="inlineStr">
        <is>
          <t>No</t>
        </is>
      </c>
      <c r="I160" s="9" t="inlineStr">
        <is>
          <t>—</t>
        </is>
      </c>
      <c r="J160" s="9" t="inlineStr">
        <is>
          <t>Modelo</t>
        </is>
      </c>
      <c r="K160" s="9" t="inlineStr">
        <is>
          <t>propio</t>
        </is>
      </c>
      <c r="L160" s="9" t="inlineStr">
        <is>
          <t>MD-10.servicio · MD-10.servicio</t>
        </is>
      </c>
      <c r="M160" s="10" t="inlineStr">
        <is>
          <t>Pendiente</t>
        </is>
      </c>
      <c r="N160" s="10" t="n"/>
    </row>
    <row r="161">
      <c r="A161" s="16" t="inlineStr">
        <is>
          <t>M-15</t>
        </is>
      </c>
      <c r="B161" s="16" t="inlineStr">
        <is>
          <t>Tarifas</t>
        </is>
      </c>
      <c r="C161" s="16" t="n">
        <v>3</v>
      </c>
      <c r="D161" s="15" t="inlineStr">
        <is>
          <t>cliente</t>
        </is>
      </c>
      <c r="E161" s="16" t="inlineStr">
        <is>
          <t>Ref. M-06</t>
        </is>
      </c>
      <c r="F161" s="16" t="inlineStr">
        <is>
          <t>No</t>
        </is>
      </c>
      <c r="G161" s="16" t="inlineStr">
        <is>
          <t>vacío = tarifa general (spot)</t>
        </is>
      </c>
      <c r="H161" s="16" t="inlineStr">
        <is>
          <t>No</t>
        </is>
      </c>
      <c r="I161" s="16" t="inlineStr">
        <is>
          <t>—</t>
        </is>
      </c>
      <c r="J161" s="16" t="inlineStr">
        <is>
          <t>Modelo</t>
        </is>
      </c>
      <c r="K161" s="16" t="inlineStr">
        <is>
          <t>propio</t>
        </is>
      </c>
      <c r="L161" s="16" t="inlineStr">
        <is>
          <t>MD-10.cliente</t>
        </is>
      </c>
      <c r="M161" s="10" t="inlineStr">
        <is>
          <t>Pendiente</t>
        </is>
      </c>
      <c r="N161" s="10" t="n"/>
    </row>
    <row r="162" ht="25" customHeight="1">
      <c r="A162" s="9" t="inlineStr">
        <is>
          <t>M-15</t>
        </is>
      </c>
      <c r="B162" s="9" t="inlineStr">
        <is>
          <t>Tarifas</t>
        </is>
      </c>
      <c r="C162" s="9" t="n">
        <v>4</v>
      </c>
      <c r="D162" s="8" t="inlineStr">
        <is>
          <t>producto</t>
        </is>
      </c>
      <c r="E162" s="9" t="inlineStr">
        <is>
          <t>Ref. M-07</t>
        </is>
      </c>
      <c r="F162" s="9" t="inlineStr">
        <is>
          <t>No</t>
        </is>
      </c>
      <c r="G162" s="9" t="inlineStr">
        <is>
          <t>vacío = todos</t>
        </is>
      </c>
      <c r="H162" s="9" t="inlineStr">
        <is>
          <t>No</t>
        </is>
      </c>
      <c r="I162" s="9" t="inlineStr">
        <is>
          <t>—</t>
        </is>
      </c>
      <c r="J162" s="9" t="inlineStr">
        <is>
          <t>Modelo</t>
        </is>
      </c>
      <c r="K162" s="9" t="inlineStr">
        <is>
          <t>propio</t>
        </is>
      </c>
      <c r="L162" s="9" t="inlineStr">
        <is>
          <t>MD-10.producto_o_familia · MD-10.producto_o_familia</t>
        </is>
      </c>
      <c r="M162" s="10" t="inlineStr">
        <is>
          <t>Pendiente</t>
        </is>
      </c>
      <c r="N162" s="10" t="n"/>
    </row>
    <row r="163" ht="37.5" customHeight="1">
      <c r="A163" s="16" t="inlineStr">
        <is>
          <t>M-15</t>
        </is>
      </c>
      <c r="B163" s="16" t="inlineStr">
        <is>
          <t>Tarifas</t>
        </is>
      </c>
      <c r="C163" s="16" t="n">
        <v>6</v>
      </c>
      <c r="D163" s="15" t="inlineStr">
        <is>
          <t>precio</t>
        </is>
      </c>
      <c r="E163" s="16" t="inlineStr">
        <is>
          <t>Decimal (14,4)</t>
        </is>
      </c>
      <c r="F163" s="16" t="inlineStr">
        <is>
          <t>Sí</t>
        </is>
      </c>
      <c r="G163" s="16" t="inlineStr">
        <is>
          <t>&gt; 0</t>
        </is>
      </c>
      <c r="H163" s="16" t="inlineStr">
        <is>
          <t>Sí</t>
        </is>
      </c>
      <c r="I163" s="16" t="inlineStr">
        <is>
          <t>—</t>
        </is>
      </c>
      <c r="J163" s="16" t="inlineStr">
        <is>
          <t>Modelo</t>
        </is>
      </c>
      <c r="K163" s="16" t="inlineStr">
        <is>
          <t>propio</t>
        </is>
      </c>
      <c r="L163" s="16" t="inlineStr">
        <is>
          <t>MD-10.precio</t>
        </is>
      </c>
      <c r="M163" s="10" t="inlineStr">
        <is>
          <t>Pendiente</t>
        </is>
      </c>
      <c r="N163" s="10" t="n"/>
    </row>
    <row r="164">
      <c r="A164" s="12" t="inlineStr">
        <is>
          <t>M-15</t>
        </is>
      </c>
      <c r="B164" s="12" t="inlineStr">
        <is>
          <t>Tarifas</t>
        </is>
      </c>
      <c r="C164" s="12" t="n">
        <v>7</v>
      </c>
      <c r="D164" s="11" t="inlineStr">
        <is>
          <t>unidad_tarifa</t>
        </is>
      </c>
      <c r="E164" s="12" t="inlineStr">
        <is>
          <t>Enumerado</t>
        </is>
      </c>
      <c r="F164" s="12" t="inlineStr">
        <is>
          <t>Sí</t>
        </is>
      </c>
      <c r="G164" s="12" t="inlineStr">
        <is>
          <t>por tonelada · por tonelada·día · por hora · por viaje · por turno</t>
        </is>
      </c>
      <c r="H164" s="12" t="inlineStr">
        <is>
          <t>No</t>
        </is>
      </c>
      <c r="I164" s="12" t="inlineStr">
        <is>
          <t>—</t>
        </is>
      </c>
      <c r="J164" s="12" t="inlineStr">
        <is>
          <t>Modelo</t>
        </is>
      </c>
      <c r="K164" s="12" t="inlineStr">
        <is>
          <t>propio</t>
        </is>
      </c>
      <c r="L164" s="12" t="inlineStr">
        <is>
          <t>— (nuevo)</t>
        </is>
      </c>
      <c r="M164" s="10" t="inlineStr">
        <is>
          <t>Pendiente</t>
        </is>
      </c>
      <c r="N164" s="10" t="n"/>
    </row>
    <row r="165">
      <c r="A165" s="16" t="inlineStr">
        <is>
          <t>M-15</t>
        </is>
      </c>
      <c r="B165" s="16" t="inlineStr">
        <is>
          <t>Tarifas</t>
        </is>
      </c>
      <c r="C165" s="16" t="n">
        <v>8</v>
      </c>
      <c r="D165" s="15" t="inlineStr">
        <is>
          <t>moneda</t>
        </is>
      </c>
      <c r="E165" s="16" t="inlineStr">
        <is>
          <t>Ref. M-18</t>
        </is>
      </c>
      <c r="F165" s="16" t="inlineStr">
        <is>
          <t>Sí</t>
        </is>
      </c>
      <c r="G165" s="16" t="inlineStr">
        <is>
          <t>—</t>
        </is>
      </c>
      <c r="H165" s="16" t="inlineStr">
        <is>
          <t>No</t>
        </is>
      </c>
      <c r="I165" s="16" t="inlineStr">
        <is>
          <t>—</t>
        </is>
      </c>
      <c r="J165" s="16" t="inlineStr">
        <is>
          <t>Modelo</t>
        </is>
      </c>
      <c r="K165" s="16" t="inlineStr">
        <is>
          <t>propio</t>
        </is>
      </c>
      <c r="L165" s="16" t="inlineStr">
        <is>
          <t>MD-10.moneda</t>
        </is>
      </c>
      <c r="M165" s="10" t="inlineStr">
        <is>
          <t>Pendiente</t>
        </is>
      </c>
      <c r="N165" s="10" t="n"/>
    </row>
    <row r="166">
      <c r="A166" s="9" t="inlineStr">
        <is>
          <t>M-15</t>
        </is>
      </c>
      <c r="B166" s="9" t="inlineStr">
        <is>
          <t>Tarifas</t>
        </is>
      </c>
      <c r="C166" s="9" t="n">
        <v>9</v>
      </c>
      <c r="D166" s="8" t="inlineStr">
        <is>
          <t>vigencia_desde_hasta</t>
        </is>
      </c>
      <c r="E166" s="9" t="inlineStr">
        <is>
          <t>Fecha</t>
        </is>
      </c>
      <c r="F166" s="9" t="inlineStr">
        <is>
          <t>Sí</t>
        </is>
      </c>
      <c r="G166" s="9" t="inlineStr">
        <is>
          <t>desde → hasta</t>
        </is>
      </c>
      <c r="H166" s="9" t="inlineStr">
        <is>
          <t>No</t>
        </is>
      </c>
      <c r="I166" s="9" t="inlineStr">
        <is>
          <t>—</t>
        </is>
      </c>
      <c r="J166" s="9" t="inlineStr">
        <is>
          <t>Modelo</t>
        </is>
      </c>
      <c r="K166" s="9" t="inlineStr">
        <is>
          <t>propio</t>
        </is>
      </c>
      <c r="L166" s="9" t="inlineStr">
        <is>
          <t>MD-10.vigencia_desde_hasta</t>
        </is>
      </c>
      <c r="M166" s="10" t="inlineStr">
        <is>
          <t>Pendiente</t>
        </is>
      </c>
      <c r="N166" s="10" t="n"/>
    </row>
    <row r="167" ht="25" customHeight="1">
      <c r="A167" s="16" t="inlineStr">
        <is>
          <t>M-15</t>
        </is>
      </c>
      <c r="B167" s="16" t="inlineStr">
        <is>
          <t>Tarifas</t>
        </is>
      </c>
      <c r="C167" s="16" t="n">
        <v>10</v>
      </c>
      <c r="D167" s="15" t="inlineStr">
        <is>
          <t>estado</t>
        </is>
      </c>
      <c r="E167" s="16" t="inlineStr">
        <is>
          <t>Enumerado</t>
        </is>
      </c>
      <c r="F167" s="16" t="inlineStr">
        <is>
          <t>Sí</t>
        </is>
      </c>
      <c r="G167" s="16" t="inlineStr">
        <is>
          <t>vigente · vencida · futura</t>
        </is>
      </c>
      <c r="H167" s="16" t="inlineStr">
        <is>
          <t>No</t>
        </is>
      </c>
      <c r="I167" s="16" t="inlineStr">
        <is>
          <t>—</t>
        </is>
      </c>
      <c r="J167" s="16" t="inlineStr">
        <is>
          <t>Modelo</t>
        </is>
      </c>
      <c r="K167" s="16" t="inlineStr">
        <is>
          <t>propio</t>
        </is>
      </c>
      <c r="L167" s="16" t="inlineStr">
        <is>
          <t>MD-10.estado</t>
        </is>
      </c>
      <c r="M167" s="10" t="inlineStr">
        <is>
          <t>Pendiente</t>
        </is>
      </c>
      <c r="N167" s="10" t="n"/>
    </row>
    <row r="168">
      <c r="A168" s="37" t="inlineStr">
        <is>
          <t>M-15</t>
        </is>
      </c>
      <c r="B168" s="37" t="inlineStr">
        <is>
          <t>Tarifas</t>
        </is>
      </c>
      <c r="C168" s="37" t="n">
        <v>5</v>
      </c>
      <c r="D168" s="38" t="inlineStr">
        <is>
          <t>almacenaje ★</t>
        </is>
      </c>
      <c r="E168" s="37" t="inlineStr">
        <is>
          <t>Enumerado</t>
        </is>
      </c>
      <c r="F168" s="37" t="inlineStr">
        <is>
          <t>Sí</t>
        </is>
      </c>
      <c r="G168" s="37" t="inlineStr">
        <is>
          <t>con almacenaje contratado · sin almacenaje (spot) · indistinto</t>
        </is>
      </c>
      <c r="H168" s="37" t="inlineStr">
        <is>
          <t>No</t>
        </is>
      </c>
      <c r="I168" s="37" t="inlineStr">
        <is>
          <t>la tarifa del servicio se divide por producto y según el cliente tenga o no almacenaje contratado · Faltaba en v3.0: definido el 10/09/2026 (tarifa por modalidad con / sin almacenaje contratado; equivalencia de unidades del flete).</t>
        </is>
      </c>
      <c r="J168" s="37" t="inlineStr">
        <is>
          <t>★ Simulador</t>
        </is>
      </c>
      <c r="K168" s="37" t="inlineStr">
        <is>
          <t>propio</t>
        </is>
      </c>
      <c r="L168" s="37" t="inlineStr">
        <is>
          <t>— (nuevo)</t>
        </is>
      </c>
      <c r="M168" s="10" t="inlineStr">
        <is>
          <t>Pendiente</t>
        </is>
      </c>
      <c r="N168" s="10" t="n"/>
    </row>
    <row r="169" ht="37.5" customHeight="1">
      <c r="A169" s="37" t="inlineStr">
        <is>
          <t>M-15</t>
        </is>
      </c>
      <c r="B169" s="37" t="inlineStr">
        <is>
          <t>Tarifas</t>
        </is>
      </c>
      <c r="C169" s="37" t="n">
        <v>11</v>
      </c>
      <c r="D169" s="38" t="inlineStr">
        <is>
          <t>equivalencia_unidad ★</t>
        </is>
      </c>
      <c r="E169" s="37" t="inlineStr">
        <is>
          <t>Texto (80)</t>
        </is>
      </c>
      <c r="F169" s="37" t="inlineStr">
        <is>
          <t>No</t>
        </is>
      </c>
      <c r="G169" s="37" t="inlineStr">
        <is>
          <t>—</t>
        </is>
      </c>
      <c r="H169" s="37" t="inlineStr">
        <is>
          <t>No</t>
        </is>
      </c>
      <c r="I169" s="37" t="inlineStr">
        <is>
          <t>equivalencia declarada entre unidades de medida (ej. 1 viaje = 30 tn = 42 km) · Faltaba en v3.0: definido el 10/09/2026 (tarifa por modalidad con / sin almacenaje contratado; equivalencia de unidades del flete).</t>
        </is>
      </c>
      <c r="J169" s="37" t="inlineStr">
        <is>
          <t>★ Simulador</t>
        </is>
      </c>
      <c r="K169" s="37" t="inlineStr">
        <is>
          <t>propio</t>
        </is>
      </c>
      <c r="L169" s="37" t="inlineStr">
        <is>
          <t>— (nuevo)</t>
        </is>
      </c>
      <c r="M169" s="10" t="inlineStr">
        <is>
          <t>Pendiente</t>
        </is>
      </c>
      <c r="N169" s="10" t="n"/>
    </row>
    <row r="170">
      <c r="A170" s="9" t="inlineStr">
        <is>
          <t>M-16</t>
        </is>
      </c>
      <c r="B170" s="9" t="inlineStr">
        <is>
          <t>Contratos</t>
        </is>
      </c>
      <c r="C170" s="9" t="n">
        <v>1</v>
      </c>
      <c r="D170" s="8" t="inlineStr">
        <is>
          <t>numero</t>
        </is>
      </c>
      <c r="E170" s="9" t="inlineStr">
        <is>
          <t>Código (14)</t>
        </is>
      </c>
      <c r="F170" s="9" t="inlineStr">
        <is>
          <t>Sí</t>
        </is>
      </c>
      <c r="G170" s="9" t="inlineStr">
        <is>
          <t>—</t>
        </is>
      </c>
      <c r="H170" s="9" t="inlineStr">
        <is>
          <t>No</t>
        </is>
      </c>
      <c r="I170" s="9" t="inlineStr">
        <is>
          <t>—</t>
        </is>
      </c>
      <c r="J170" s="9" t="inlineStr">
        <is>
          <t>Modelo</t>
        </is>
      </c>
      <c r="K170" s="9" t="inlineStr">
        <is>
          <t>propio</t>
        </is>
      </c>
      <c r="L170" s="9" t="inlineStr">
        <is>
          <t>MD-11.numero</t>
        </is>
      </c>
      <c r="M170" s="10" t="inlineStr">
        <is>
          <t>Pendiente</t>
        </is>
      </c>
      <c r="N170" s="10" t="n"/>
    </row>
    <row r="171" ht="37.5" customHeight="1">
      <c r="A171" s="16" t="inlineStr">
        <is>
          <t>M-16</t>
        </is>
      </c>
      <c r="B171" s="16" t="inlineStr">
        <is>
          <t>Contratos</t>
        </is>
      </c>
      <c r="C171" s="16" t="n">
        <v>2</v>
      </c>
      <c r="D171" s="15" t="inlineStr">
        <is>
          <t>cliente</t>
        </is>
      </c>
      <c r="E171" s="16" t="inlineStr">
        <is>
          <t>Ref. M-06</t>
        </is>
      </c>
      <c r="F171" s="16" t="inlineStr">
        <is>
          <t>Sí</t>
        </is>
      </c>
      <c r="G171" s="16" t="inlineStr">
        <is>
          <t>—</t>
        </is>
      </c>
      <c r="H171" s="16" t="inlineStr">
        <is>
          <t>No</t>
        </is>
      </c>
      <c r="I171" s="16" t="inlineStr">
        <is>
          <t>—</t>
        </is>
      </c>
      <c r="J171" s="16" t="inlineStr">
        <is>
          <t>Modelo</t>
        </is>
      </c>
      <c r="K171" s="16" t="inlineStr">
        <is>
          <t>propio</t>
        </is>
      </c>
      <c r="L171" s="16" t="inlineStr">
        <is>
          <t>MD-11.cliente</t>
        </is>
      </c>
      <c r="M171" s="10" t="inlineStr">
        <is>
          <t>Pendiente</t>
        </is>
      </c>
      <c r="N171" s="10" t="n"/>
    </row>
    <row r="172" ht="25" customHeight="1">
      <c r="A172" s="9" t="inlineStr">
        <is>
          <t>M-16</t>
        </is>
      </c>
      <c r="B172" s="9" t="inlineStr">
        <is>
          <t>Contratos</t>
        </is>
      </c>
      <c r="C172" s="9" t="n">
        <v>3</v>
      </c>
      <c r="D172" s="8" t="inlineStr">
        <is>
          <t>tipo</t>
        </is>
      </c>
      <c r="E172" s="9" t="inlineStr">
        <is>
          <t>Enumerado</t>
        </is>
      </c>
      <c r="F172" s="9" t="inlineStr">
        <is>
          <t>Sí</t>
        </is>
      </c>
      <c r="G172" s="9" t="inlineStr">
        <is>
          <t>contrato · adenda</t>
        </is>
      </c>
      <c r="H172" s="9" t="inlineStr">
        <is>
          <t>No</t>
        </is>
      </c>
      <c r="I172" s="9" t="inlineStr">
        <is>
          <t>—</t>
        </is>
      </c>
      <c r="J172" s="9" t="inlineStr">
        <is>
          <t>Modelo</t>
        </is>
      </c>
      <c r="K172" s="9" t="inlineStr">
        <is>
          <t>propio</t>
        </is>
      </c>
      <c r="L172" s="9" t="inlineStr">
        <is>
          <t>MD-11.tipo</t>
        </is>
      </c>
      <c r="M172" s="10" t="inlineStr">
        <is>
          <t>Pendiente</t>
        </is>
      </c>
      <c r="N172" s="10" t="n"/>
    </row>
    <row r="173" ht="25" customHeight="1">
      <c r="A173" s="16" t="inlineStr">
        <is>
          <t>M-16</t>
        </is>
      </c>
      <c r="B173" s="16" t="inlineStr">
        <is>
          <t>Contratos</t>
        </is>
      </c>
      <c r="C173" s="16" t="n">
        <v>4</v>
      </c>
      <c r="D173" s="15" t="inlineStr">
        <is>
          <t>servicios_incluidos</t>
        </is>
      </c>
      <c r="E173" s="16" t="inlineStr">
        <is>
          <t>Ref. M-14 (múltiple)</t>
        </is>
      </c>
      <c r="F173" s="16" t="inlineStr">
        <is>
          <t>Sí</t>
        </is>
      </c>
      <c r="G173" s="16" t="inlineStr">
        <is>
          <t>—</t>
        </is>
      </c>
      <c r="H173" s="16" t="inlineStr">
        <is>
          <t>No</t>
        </is>
      </c>
      <c r="I173" s="16" t="inlineStr">
        <is>
          <t>—</t>
        </is>
      </c>
      <c r="J173" s="16" t="inlineStr">
        <is>
          <t>Modelo</t>
        </is>
      </c>
      <c r="K173" s="16" t="inlineStr">
        <is>
          <t>propio</t>
        </is>
      </c>
      <c r="L173" s="16" t="inlineStr">
        <is>
          <t>MD-11.servicios_incluidos</t>
        </is>
      </c>
      <c r="M173" s="10" t="inlineStr">
        <is>
          <t>Pendiente</t>
        </is>
      </c>
      <c r="N173" s="10" t="n"/>
    </row>
    <row r="174">
      <c r="A174" s="9" t="inlineStr">
        <is>
          <t>M-16</t>
        </is>
      </c>
      <c r="B174" s="9" t="inlineStr">
        <is>
          <t>Contratos</t>
        </is>
      </c>
      <c r="C174" s="9" t="n">
        <v>5</v>
      </c>
      <c r="D174" s="8" t="inlineStr">
        <is>
          <t>ritmo_contractual_tn_turno</t>
        </is>
      </c>
      <c r="E174" s="9" t="inlineStr">
        <is>
          <t>Decimal (10,3)</t>
        </is>
      </c>
      <c r="F174" s="9" t="inlineStr">
        <is>
          <t>Sí</t>
        </is>
      </c>
      <c r="G174" s="9" t="inlineStr">
        <is>
          <t>&gt; 0</t>
        </is>
      </c>
      <c r="H174" s="9" t="inlineStr">
        <is>
          <t>Sí</t>
        </is>
      </c>
      <c r="I174" s="9" t="inlineStr">
        <is>
          <t>—</t>
        </is>
      </c>
      <c r="J174" s="9" t="inlineStr">
        <is>
          <t>Modelo</t>
        </is>
      </c>
      <c r="K174" s="9" t="inlineStr">
        <is>
          <t>propio</t>
        </is>
      </c>
      <c r="L174" s="9" t="inlineStr">
        <is>
          <t>MD-11.ritmo_contractual_tn_turno</t>
        </is>
      </c>
      <c r="M174" s="10" t="inlineStr">
        <is>
          <t>Pendiente</t>
        </is>
      </c>
      <c r="N174" s="10" t="n"/>
    </row>
    <row r="175">
      <c r="A175" s="16" t="inlineStr">
        <is>
          <t>M-16</t>
        </is>
      </c>
      <c r="B175" s="16" t="inlineStr">
        <is>
          <t>Contratos</t>
        </is>
      </c>
      <c r="C175" s="16" t="n">
        <v>6</v>
      </c>
      <c r="D175" s="15" t="inlineStr">
        <is>
          <t>tolerancia_entre_balanzas_pct</t>
        </is>
      </c>
      <c r="E175" s="16" t="inlineStr">
        <is>
          <t>Decimal (5,3)</t>
        </is>
      </c>
      <c r="F175" s="16" t="inlineStr">
        <is>
          <t>Sí</t>
        </is>
      </c>
      <c r="G175" s="16" t="inlineStr">
        <is>
          <t>≥ 0</t>
        </is>
      </c>
      <c r="H175" s="16" t="inlineStr">
        <is>
          <t>Sí</t>
        </is>
      </c>
      <c r="I175" s="16" t="inlineStr">
        <is>
          <t>—</t>
        </is>
      </c>
      <c r="J175" s="16" t="inlineStr">
        <is>
          <t>Modelo</t>
        </is>
      </c>
      <c r="K175" s="16" t="inlineStr">
        <is>
          <t>propio</t>
        </is>
      </c>
      <c r="L175" s="16" t="inlineStr">
        <is>
          <t>MD-11.tolerancia_entre_balanzas_pct</t>
        </is>
      </c>
      <c r="M175" s="10" t="inlineStr">
        <is>
          <t>Pendiente</t>
        </is>
      </c>
      <c r="N175" s="10" t="n"/>
    </row>
    <row r="176" ht="37.5" customHeight="1">
      <c r="A176" s="9" t="inlineStr">
        <is>
          <t>M-16</t>
        </is>
      </c>
      <c r="B176" s="9" t="inlineStr">
        <is>
          <t>Contratos</t>
        </is>
      </c>
      <c r="C176" s="9" t="n">
        <v>7</v>
      </c>
      <c r="D176" s="8" t="inlineStr">
        <is>
          <t>merma_reconocida_pct</t>
        </is>
      </c>
      <c r="E176" s="9" t="inlineStr">
        <is>
          <t>Decimal (5,3)</t>
        </is>
      </c>
      <c r="F176" s="9" t="inlineStr">
        <is>
          <t>Sí</t>
        </is>
      </c>
      <c r="G176" s="9" t="inlineStr">
        <is>
          <t>≥ 0</t>
        </is>
      </c>
      <c r="H176" s="9" t="inlineStr">
        <is>
          <t>Sí</t>
        </is>
      </c>
      <c r="I176" s="9" t="inlineStr">
        <is>
          <t>—</t>
        </is>
      </c>
      <c r="J176" s="9" t="inlineStr">
        <is>
          <t>Modelo</t>
        </is>
      </c>
      <c r="K176" s="9" t="inlineStr">
        <is>
          <t>propio</t>
        </is>
      </c>
      <c r="L176" s="9" t="inlineStr">
        <is>
          <t>MD-11.merma_reconocida_pct</t>
        </is>
      </c>
      <c r="M176" s="10" t="inlineStr">
        <is>
          <t>Pendiente</t>
        </is>
      </c>
      <c r="N176" s="10" t="n"/>
    </row>
    <row r="177">
      <c r="A177" s="16" t="inlineStr">
        <is>
          <t>M-16</t>
        </is>
      </c>
      <c r="B177" s="16" t="inlineStr">
        <is>
          <t>Contratos</t>
        </is>
      </c>
      <c r="C177" s="16" t="n">
        <v>8</v>
      </c>
      <c r="D177" s="15" t="inlineStr">
        <is>
          <t>perdida_de_identidad</t>
        </is>
      </c>
      <c r="E177" s="16" t="inlineStr">
        <is>
          <t>Lógico</t>
        </is>
      </c>
      <c r="F177" s="16" t="inlineStr">
        <is>
          <t>Sí</t>
        </is>
      </c>
      <c r="G177" s="16" t="inlineStr">
        <is>
          <t>V / F</t>
        </is>
      </c>
      <c r="H177" s="16" t="inlineStr">
        <is>
          <t>No</t>
        </is>
      </c>
      <c r="I177" s="16" t="inlineStr">
        <is>
          <t>—</t>
        </is>
      </c>
      <c r="J177" s="16" t="inlineStr">
        <is>
          <t>Modelo</t>
        </is>
      </c>
      <c r="K177" s="16" t="inlineStr">
        <is>
          <t>propio</t>
        </is>
      </c>
      <c r="L177" s="16" t="inlineStr">
        <is>
          <t>MD-11.perdida_de_identidad</t>
        </is>
      </c>
      <c r="M177" s="10" t="inlineStr">
        <is>
          <t>Pendiente</t>
        </is>
      </c>
      <c r="N177" s="10" t="n"/>
    </row>
    <row r="178">
      <c r="A178" s="9" t="inlineStr">
        <is>
          <t>M-16</t>
        </is>
      </c>
      <c r="B178" s="9" t="inlineStr">
        <is>
          <t>Contratos</t>
        </is>
      </c>
      <c r="C178" s="9" t="n">
        <v>9</v>
      </c>
      <c r="D178" s="8" t="inlineStr">
        <is>
          <t>documento</t>
        </is>
      </c>
      <c r="E178" s="9" t="inlineStr">
        <is>
          <t>Adjunto</t>
        </is>
      </c>
      <c r="F178" s="9" t="inlineStr">
        <is>
          <t>No</t>
        </is>
      </c>
      <c r="G178" s="9" t="inlineStr">
        <is>
          <t>—</t>
        </is>
      </c>
      <c r="H178" s="9" t="inlineStr">
        <is>
          <t>No</t>
        </is>
      </c>
      <c r="I178" s="9" t="inlineStr">
        <is>
          <t>—</t>
        </is>
      </c>
      <c r="J178" s="9" t="inlineStr">
        <is>
          <t>Modelo</t>
        </is>
      </c>
      <c r="K178" s="9" t="inlineStr">
        <is>
          <t>propio</t>
        </is>
      </c>
      <c r="L178" s="9" t="inlineStr">
        <is>
          <t>MD-11.documento</t>
        </is>
      </c>
      <c r="M178" s="10" t="inlineStr">
        <is>
          <t>Pendiente</t>
        </is>
      </c>
      <c r="N178" s="10" t="n"/>
    </row>
    <row r="179" ht="25" customHeight="1">
      <c r="A179" s="16" t="inlineStr">
        <is>
          <t>M-16</t>
        </is>
      </c>
      <c r="B179" s="16" t="inlineStr">
        <is>
          <t>Contratos</t>
        </is>
      </c>
      <c r="C179" s="16" t="n">
        <v>10</v>
      </c>
      <c r="D179" s="15" t="inlineStr">
        <is>
          <t>sla_aviso_dias_min_max</t>
        </is>
      </c>
      <c r="E179" s="16" t="inlineStr">
        <is>
          <t>Texto (12)</t>
        </is>
      </c>
      <c r="F179" s="16" t="inlineStr">
        <is>
          <t>Sí</t>
        </is>
      </c>
      <c r="G179" s="16" t="inlineStr">
        <is>
          <t>ej. 15 – 30</t>
        </is>
      </c>
      <c r="H179" s="16" t="inlineStr">
        <is>
          <t>No</t>
        </is>
      </c>
      <c r="I179" s="16" t="inlineStr">
        <is>
          <t>—</t>
        </is>
      </c>
      <c r="J179" s="16" t="inlineStr">
        <is>
          <t>Modelo</t>
        </is>
      </c>
      <c r="K179" s="16" t="inlineStr">
        <is>
          <t>propio</t>
        </is>
      </c>
      <c r="L179" s="16" t="inlineStr">
        <is>
          <t>MD-11.sla_aviso_dias_min_max</t>
        </is>
      </c>
      <c r="M179" s="10" t="inlineStr">
        <is>
          <t>Pendiente</t>
        </is>
      </c>
      <c r="N179" s="10" t="n"/>
    </row>
    <row r="180">
      <c r="A180" s="9" t="inlineStr">
        <is>
          <t>M-16</t>
        </is>
      </c>
      <c r="B180" s="9" t="inlineStr">
        <is>
          <t>Contratos</t>
        </is>
      </c>
      <c r="C180" s="9" t="n">
        <v>11</v>
      </c>
      <c r="D180" s="8" t="inlineStr">
        <is>
          <t>contrato_padre</t>
        </is>
      </c>
      <c r="E180" s="9" t="inlineStr">
        <is>
          <t>Ref. M-16</t>
        </is>
      </c>
      <c r="F180" s="9" t="inlineStr">
        <is>
          <t>No</t>
        </is>
      </c>
      <c r="G180" s="9" t="inlineStr">
        <is>
          <t>—</t>
        </is>
      </c>
      <c r="H180" s="9" t="inlineStr">
        <is>
          <t>No</t>
        </is>
      </c>
      <c r="I180" s="9" t="inlineStr">
        <is>
          <t>—</t>
        </is>
      </c>
      <c r="J180" s="9" t="inlineStr">
        <is>
          <t>Modelo</t>
        </is>
      </c>
      <c r="K180" s="9" t="inlineStr">
        <is>
          <t>propio</t>
        </is>
      </c>
      <c r="L180" s="9" t="inlineStr">
        <is>
          <t>MD-11.contrato_padre</t>
        </is>
      </c>
      <c r="M180" s="10" t="inlineStr">
        <is>
          <t>Pendiente</t>
        </is>
      </c>
      <c r="N180" s="10" t="n"/>
    </row>
    <row r="181" ht="25" customHeight="1">
      <c r="A181" s="16" t="inlineStr">
        <is>
          <t>M-16</t>
        </is>
      </c>
      <c r="B181" s="16" t="inlineStr">
        <is>
          <t>Contratos</t>
        </is>
      </c>
      <c r="C181" s="16" t="n">
        <v>12</v>
      </c>
      <c r="D181" s="15" t="inlineStr">
        <is>
          <t>volumen_comprometido_periodo_tn</t>
        </is>
      </c>
      <c r="E181" s="16" t="inlineStr">
        <is>
          <t>Decimal (12,3)</t>
        </is>
      </c>
      <c r="F181" s="16" t="inlineStr">
        <is>
          <t>No</t>
        </is>
      </c>
      <c r="G181" s="16" t="inlineStr">
        <is>
          <t>≥ 0</t>
        </is>
      </c>
      <c r="H181" s="16" t="inlineStr">
        <is>
          <t>No</t>
        </is>
      </c>
      <c r="I181" s="16" t="inlineStr">
        <is>
          <t>—</t>
        </is>
      </c>
      <c r="J181" s="16" t="inlineStr">
        <is>
          <t>Modelo</t>
        </is>
      </c>
      <c r="K181" s="16" t="inlineStr">
        <is>
          <t>propio</t>
        </is>
      </c>
      <c r="L181" s="16" t="inlineStr">
        <is>
          <t>MD-11.volumen_comprometido_periodo_tn</t>
        </is>
      </c>
      <c r="M181" s="10" t="inlineStr">
        <is>
          <t>Pendiente</t>
        </is>
      </c>
      <c r="N181" s="10" t="n"/>
    </row>
    <row r="182">
      <c r="A182" s="9" t="inlineStr">
        <is>
          <t>M-16</t>
        </is>
      </c>
      <c r="B182" s="9" t="inlineStr">
        <is>
          <t>Contratos</t>
        </is>
      </c>
      <c r="C182" s="9" t="n">
        <v>13</v>
      </c>
      <c r="D182" s="8" t="inlineStr">
        <is>
          <t>tope_cupos_diario</t>
        </is>
      </c>
      <c r="E182" s="9" t="inlineStr">
        <is>
          <t>Entero</t>
        </is>
      </c>
      <c r="F182" s="9" t="inlineStr">
        <is>
          <t>No</t>
        </is>
      </c>
      <c r="G182" s="9" t="inlineStr">
        <is>
          <t>≥ 0 camiones/día</t>
        </is>
      </c>
      <c r="H182" s="9" t="inlineStr">
        <is>
          <t>No</t>
        </is>
      </c>
      <c r="I182" s="9" t="inlineStr">
        <is>
          <t>—</t>
        </is>
      </c>
      <c r="J182" s="9" t="inlineStr">
        <is>
          <t>Modelo</t>
        </is>
      </c>
      <c r="K182" s="9" t="inlineStr">
        <is>
          <t>propio</t>
        </is>
      </c>
      <c r="L182" s="9" t="inlineStr">
        <is>
          <t>MD-11.tope_cupos_diario</t>
        </is>
      </c>
      <c r="M182" s="10" t="inlineStr">
        <is>
          <t>Pendiente</t>
        </is>
      </c>
      <c r="N182" s="10" t="n"/>
    </row>
    <row r="183">
      <c r="A183" s="16" t="inlineStr">
        <is>
          <t>M-16</t>
        </is>
      </c>
      <c r="B183" s="16" t="inlineStr">
        <is>
          <t>Contratos</t>
        </is>
      </c>
      <c r="C183" s="16" t="n">
        <v>14</v>
      </c>
      <c r="D183" s="15" t="inlineStr">
        <is>
          <t>plazo_almacenaje_bonificado_dias</t>
        </is>
      </c>
      <c r="E183" s="16" t="inlineStr">
        <is>
          <t>Entero</t>
        </is>
      </c>
      <c r="F183" s="16" t="inlineStr">
        <is>
          <t>No</t>
        </is>
      </c>
      <c r="G183" s="16" t="inlineStr">
        <is>
          <t>≥ 0</t>
        </is>
      </c>
      <c r="H183" s="16" t="inlineStr">
        <is>
          <t>No</t>
        </is>
      </c>
      <c r="I183" s="16" t="inlineStr">
        <is>
          <t>—</t>
        </is>
      </c>
      <c r="J183" s="16" t="inlineStr">
        <is>
          <t>Modelo</t>
        </is>
      </c>
      <c r="K183" s="16" t="inlineStr">
        <is>
          <t>propio</t>
        </is>
      </c>
      <c r="L183" s="16" t="inlineStr">
        <is>
          <t>MD-11.plazo_almacenaje_bonificado_dias</t>
        </is>
      </c>
      <c r="M183" s="10" t="inlineStr">
        <is>
          <t>Pendiente</t>
        </is>
      </c>
      <c r="N183" s="10" t="n"/>
    </row>
    <row r="184">
      <c r="A184" s="9" t="inlineStr">
        <is>
          <t>M-16</t>
        </is>
      </c>
      <c r="B184" s="9" t="inlineStr">
        <is>
          <t>Contratos</t>
        </is>
      </c>
      <c r="C184" s="9" t="n">
        <v>15</v>
      </c>
      <c r="D184" s="8" t="inlineStr">
        <is>
          <t>vigencia_desde</t>
        </is>
      </c>
      <c r="E184" s="9" t="inlineStr">
        <is>
          <t>Fecha</t>
        </is>
      </c>
      <c r="F184" s="9" t="inlineStr">
        <is>
          <t>Sí</t>
        </is>
      </c>
      <c r="G184" s="9" t="inlineStr">
        <is>
          <t>—</t>
        </is>
      </c>
      <c r="H184" s="9" t="inlineStr">
        <is>
          <t>No</t>
        </is>
      </c>
      <c r="I184" s="9" t="inlineStr">
        <is>
          <t>—</t>
        </is>
      </c>
      <c r="J184" s="9" t="inlineStr">
        <is>
          <t>Modelo</t>
        </is>
      </c>
      <c r="K184" s="9" t="inlineStr">
        <is>
          <t>propio</t>
        </is>
      </c>
      <c r="L184" s="9" t="inlineStr">
        <is>
          <t>MD-11.vigencia_desde_hasta · MD-11.vigencia_desde_hasta</t>
        </is>
      </c>
      <c r="M184" s="10" t="inlineStr">
        <is>
          <t>Pendiente</t>
        </is>
      </c>
      <c r="N184" s="10" t="n"/>
    </row>
    <row r="185">
      <c r="A185" s="16" t="inlineStr">
        <is>
          <t>M-16</t>
        </is>
      </c>
      <c r="B185" s="16" t="inlineStr">
        <is>
          <t>Contratos</t>
        </is>
      </c>
      <c r="C185" s="16" t="n">
        <v>16</v>
      </c>
      <c r="D185" s="15" t="inlineStr">
        <is>
          <t>vigencia_hasta</t>
        </is>
      </c>
      <c r="E185" s="16" t="inlineStr">
        <is>
          <t>Fecha</t>
        </is>
      </c>
      <c r="F185" s="16" t="inlineStr">
        <is>
          <t>Sí</t>
        </is>
      </c>
      <c r="G185" s="16" t="inlineStr">
        <is>
          <t>—</t>
        </is>
      </c>
      <c r="H185" s="16" t="inlineStr">
        <is>
          <t>No</t>
        </is>
      </c>
      <c r="I185" s="16" t="inlineStr">
        <is>
          <t>—</t>
        </is>
      </c>
      <c r="J185" s="16" t="inlineStr">
        <is>
          <t>Modelo</t>
        </is>
      </c>
      <c r="K185" s="16" t="inlineStr">
        <is>
          <t>propio</t>
        </is>
      </c>
      <c r="L185" s="16" t="inlineStr">
        <is>
          <t>MD-11.vigencia_desde_hasta · MD-11.vigencia_desde_hasta</t>
        </is>
      </c>
      <c r="M185" s="10" t="inlineStr">
        <is>
          <t>Pendiente</t>
        </is>
      </c>
      <c r="N185" s="10" t="n"/>
    </row>
    <row r="186" ht="25" customHeight="1">
      <c r="A186" s="12" t="inlineStr">
        <is>
          <t>M-16</t>
        </is>
      </c>
      <c r="B186" s="12" t="inlineStr">
        <is>
          <t>Contratos</t>
        </is>
      </c>
      <c r="C186" s="12" t="n">
        <v>17</v>
      </c>
      <c r="D186" s="11" t="inlineStr">
        <is>
          <t>estado</t>
        </is>
      </c>
      <c r="E186" s="12" t="inlineStr">
        <is>
          <t>Enumerado</t>
        </is>
      </c>
      <c r="F186" s="12" t="inlineStr">
        <is>
          <t>Sí</t>
        </is>
      </c>
      <c r="G186" s="12" t="inlineStr">
        <is>
          <t>vigente · vencido · borrador</t>
        </is>
      </c>
      <c r="H186" s="12" t="inlineStr">
        <is>
          <t>No</t>
        </is>
      </c>
      <c r="I186" s="12" t="inlineStr">
        <is>
          <t>—</t>
        </is>
      </c>
      <c r="J186" s="12" t="inlineStr">
        <is>
          <t>Modelo</t>
        </is>
      </c>
      <c r="K186" s="12" t="inlineStr">
        <is>
          <t>propio</t>
        </is>
      </c>
      <c r="L186" s="12" t="inlineStr">
        <is>
          <t>— (nuevo)</t>
        </is>
      </c>
      <c r="M186" s="10" t="inlineStr">
        <is>
          <t>Pendiente</t>
        </is>
      </c>
      <c r="N186" s="10" t="n"/>
    </row>
    <row r="187">
      <c r="A187" s="17" t="inlineStr">
        <is>
          <t>M-16</t>
        </is>
      </c>
      <c r="B187" s="17" t="inlineStr">
        <is>
          <t>Contratos</t>
        </is>
      </c>
      <c r="C187" s="17" t="n">
        <v>18</v>
      </c>
      <c r="D187" s="18" t="inlineStr">
        <is>
          <t>modalidad_por_defecto ★</t>
        </is>
      </c>
      <c r="E187" s="17" t="inlineStr">
        <is>
          <t>Enumerado</t>
        </is>
      </c>
      <c r="F187" s="17" t="inlineStr">
        <is>
          <t>No</t>
        </is>
      </c>
      <c r="G187" s="17" t="inlineStr">
        <is>
          <t>DIRECTO · DEPOSITO · SATELITE · FISCAL</t>
        </is>
      </c>
      <c r="H187" s="17" t="inlineStr">
        <is>
          <t>No</t>
        </is>
      </c>
      <c r="I187" s="17" t="inlineStr">
        <is>
          <t>Modalidad que se propone al abrir el operativo</t>
        </is>
      </c>
      <c r="J187" s="17" t="inlineStr">
        <is>
          <t>★ Simulador</t>
        </is>
      </c>
      <c r="K187" s="17" t="inlineStr">
        <is>
          <t>propio</t>
        </is>
      </c>
      <c r="L187" s="17" t="inlineStr">
        <is>
          <t>MD-11.modalidad_por_defecto</t>
        </is>
      </c>
      <c r="M187" s="10" t="inlineStr">
        <is>
          <t>Pendiente</t>
        </is>
      </c>
      <c r="N187" s="10" t="n"/>
    </row>
    <row r="188">
      <c r="A188" s="17" t="inlineStr">
        <is>
          <t>M-16</t>
        </is>
      </c>
      <c r="B188" s="17" t="inlineStr">
        <is>
          <t>Contratos</t>
        </is>
      </c>
      <c r="C188" s="17" t="n">
        <v>19</v>
      </c>
      <c r="D188" s="18" t="inlineStr">
        <is>
          <t>condicion_aduanera_prevista ★</t>
        </is>
      </c>
      <c r="E188" s="17" t="inlineStr">
        <is>
          <t>Enumerado</t>
        </is>
      </c>
      <c r="F188" s="17" t="inlineStr">
        <is>
          <t>No</t>
        </is>
      </c>
      <c r="G188" s="17" t="inlineStr">
        <is>
          <t>nacional · fiscal · mixta por BL</t>
        </is>
      </c>
      <c r="H188" s="17" t="inlineStr">
        <is>
          <t>No</t>
        </is>
      </c>
      <c r="I188" s="17" t="inlineStr">
        <is>
          <t>PROPUESTO POR EL SIMULADOR</t>
        </is>
      </c>
      <c r="J188" s="17" t="inlineStr">
        <is>
          <t>★ Simulador</t>
        </is>
      </c>
      <c r="K188" s="17" t="inlineStr">
        <is>
          <t>propio</t>
        </is>
      </c>
      <c r="L188" s="17" t="inlineStr">
        <is>
          <t>MD-11.condicion_aduanera_prevista</t>
        </is>
      </c>
      <c r="M188" s="10" t="inlineStr">
        <is>
          <t>Pendiente</t>
        </is>
      </c>
      <c r="N188" s="10" t="n"/>
    </row>
    <row r="189" ht="25" customHeight="1">
      <c r="A189" s="17" t="inlineStr">
        <is>
          <t>M-16</t>
        </is>
      </c>
      <c r="B189" s="17" t="inlineStr">
        <is>
          <t>Contratos</t>
        </is>
      </c>
      <c r="C189" s="17" t="n">
        <v>20</v>
      </c>
      <c r="D189" s="18" t="inlineStr">
        <is>
          <t>espacio_asignado ★</t>
        </is>
      </c>
      <c r="E189" s="17" t="inlineStr">
        <is>
          <t>Ref. M-10a (múltiple)</t>
        </is>
      </c>
      <c r="F189" s="17" t="inlineStr">
        <is>
          <t>No</t>
        </is>
      </c>
      <c r="G189" s="17" t="inlineStr">
        <is>
          <t>—</t>
        </is>
      </c>
      <c r="H189" s="17" t="inlineStr">
        <is>
          <t>No</t>
        </is>
      </c>
      <c r="I189" s="17" t="inlineStr">
        <is>
          <t>Ubicaciones reservadas en exclusiva</t>
        </is>
      </c>
      <c r="J189" s="17" t="inlineStr">
        <is>
          <t>★ Simulador</t>
        </is>
      </c>
      <c r="K189" s="17" t="inlineStr">
        <is>
          <t>propio</t>
        </is>
      </c>
      <c r="L189" s="17" t="inlineStr">
        <is>
          <t>MD-11.espacio_asignado</t>
        </is>
      </c>
      <c r="M189" s="10" t="inlineStr">
        <is>
          <t>Pendiente</t>
        </is>
      </c>
      <c r="N189" s="10" t="n"/>
    </row>
    <row r="190" ht="25" customHeight="1">
      <c r="A190" s="9" t="inlineStr">
        <is>
          <t>M-17</t>
        </is>
      </c>
      <c r="B190" s="9" t="inlineStr">
        <is>
          <t>LineUp</t>
        </is>
      </c>
      <c r="C190" s="9" t="n">
        <v>1</v>
      </c>
      <c r="D190" s="8" t="inlineStr">
        <is>
          <t>codigo</t>
        </is>
      </c>
      <c r="E190" s="9" t="inlineStr">
        <is>
          <t>Código (12)</t>
        </is>
      </c>
      <c r="F190" s="9" t="inlineStr">
        <is>
          <t>Sí</t>
        </is>
      </c>
      <c r="G190" s="9" t="inlineStr">
        <is>
          <t>—</t>
        </is>
      </c>
      <c r="H190" s="9" t="inlineStr">
        <is>
          <t>No</t>
        </is>
      </c>
      <c r="I190" s="9" t="inlineStr">
        <is>
          <t>—</t>
        </is>
      </c>
      <c r="J190" s="9" t="inlineStr">
        <is>
          <t>Modelo</t>
        </is>
      </c>
      <c r="K190" s="9" t="inlineStr">
        <is>
          <t>propio</t>
        </is>
      </c>
      <c r="L190" s="9" t="inlineStr">
        <is>
          <t>MD-00.codigo</t>
        </is>
      </c>
      <c r="M190" s="10" t="inlineStr">
        <is>
          <t>Pendiente</t>
        </is>
      </c>
      <c r="N190" s="10" t="n"/>
    </row>
    <row r="191" ht="25" customHeight="1">
      <c r="A191" s="16" t="inlineStr">
        <is>
          <t>M-17</t>
        </is>
      </c>
      <c r="B191" s="16" t="inlineStr">
        <is>
          <t>LineUp</t>
        </is>
      </c>
      <c r="C191" s="16" t="n">
        <v>2</v>
      </c>
      <c r="D191" s="15" t="inlineStr">
        <is>
          <t>puerto</t>
        </is>
      </c>
      <c r="E191" s="16" t="inlineStr">
        <is>
          <t>Ref. M-09</t>
        </is>
      </c>
      <c r="F191" s="16" t="inlineStr">
        <is>
          <t>Sí</t>
        </is>
      </c>
      <c r="G191" s="16" t="inlineStr">
        <is>
          <t>—</t>
        </is>
      </c>
      <c r="H191" s="16" t="inlineStr">
        <is>
          <t>No</t>
        </is>
      </c>
      <c r="I191" s="16" t="inlineStr">
        <is>
          <t>—</t>
        </is>
      </c>
      <c r="J191" s="16" t="inlineStr">
        <is>
          <t>Modelo</t>
        </is>
      </c>
      <c r="K191" s="16" t="inlineStr">
        <is>
          <t>propio</t>
        </is>
      </c>
      <c r="L191" s="16" t="inlineStr">
        <is>
          <t>MD-00.puerto_terminal · MD-00.puerto_terminal</t>
        </is>
      </c>
      <c r="M191" s="10" t="inlineStr">
        <is>
          <t>Pendiente</t>
        </is>
      </c>
      <c r="N191" s="10" t="n"/>
    </row>
    <row r="192" ht="25" customHeight="1">
      <c r="A192" s="9" t="inlineStr">
        <is>
          <t>M-17</t>
        </is>
      </c>
      <c r="B192" s="9" t="inlineStr">
        <is>
          <t>LineUp</t>
        </is>
      </c>
      <c r="C192" s="9" t="n">
        <v>3</v>
      </c>
      <c r="D192" s="8" t="inlineStr">
        <is>
          <t>buque</t>
        </is>
      </c>
      <c r="E192" s="9" t="inlineStr">
        <is>
          <t>Ref. M-08</t>
        </is>
      </c>
      <c r="F192" s="9" t="inlineStr">
        <is>
          <t>Condicional</t>
        </is>
      </c>
      <c r="G192" s="9" t="inlineStr">
        <is>
          <t>vacío hasta homologar</t>
        </is>
      </c>
      <c r="H192" s="9" t="inlineStr">
        <is>
          <t>No</t>
        </is>
      </c>
      <c r="I192" s="9" t="inlineStr">
        <is>
          <t>—</t>
        </is>
      </c>
      <c r="J192" s="9" t="inlineStr">
        <is>
          <t>Modelo</t>
        </is>
      </c>
      <c r="K192" s="9" t="inlineStr">
        <is>
          <t>propio</t>
        </is>
      </c>
      <c r="L192" s="9" t="inlineStr">
        <is>
          <t>MD-00.buque</t>
        </is>
      </c>
      <c r="M192" s="10" t="inlineStr">
        <is>
          <t>Pendiente</t>
        </is>
      </c>
      <c r="N192" s="10" t="n"/>
    </row>
    <row r="193" ht="25" customHeight="1">
      <c r="A193" s="16" t="inlineStr">
        <is>
          <t>M-17</t>
        </is>
      </c>
      <c r="B193" s="16" t="inlineStr">
        <is>
          <t>LineUp</t>
        </is>
      </c>
      <c r="C193" s="16" t="n">
        <v>4</v>
      </c>
      <c r="D193" s="15" t="inlineStr">
        <is>
          <t>operador</t>
        </is>
      </c>
      <c r="E193" s="16" t="inlineStr">
        <is>
          <t>Enumerado</t>
        </is>
      </c>
      <c r="F193" s="16" t="inlineStr">
        <is>
          <t>Sí</t>
        </is>
      </c>
      <c r="G193" s="16" t="inlineStr">
        <is>
          <t>TYS · PTP · MTR · CASPORT · COFCO · otro</t>
        </is>
      </c>
      <c r="H193" s="16" t="inlineStr">
        <is>
          <t>No</t>
        </is>
      </c>
      <c r="I193" s="16" t="inlineStr">
        <is>
          <t>—</t>
        </is>
      </c>
      <c r="J193" s="16" t="inlineStr">
        <is>
          <t>Modelo</t>
        </is>
      </c>
      <c r="K193" s="16" t="inlineStr">
        <is>
          <t>propio</t>
        </is>
      </c>
      <c r="L193" s="16" t="inlineStr">
        <is>
          <t>MD-00.operador_terminal · MD-00.operador_terminal</t>
        </is>
      </c>
      <c r="M193" s="10" t="inlineStr">
        <is>
          <t>Pendiente</t>
        </is>
      </c>
      <c r="N193" s="10" t="n"/>
    </row>
    <row r="194">
      <c r="A194" s="9" t="inlineStr">
        <is>
          <t>M-17</t>
        </is>
      </c>
      <c r="B194" s="9" t="inlineStr">
        <is>
          <t>LineUp</t>
        </is>
      </c>
      <c r="C194" s="9" t="n">
        <v>5</v>
      </c>
      <c r="D194" s="8" t="inlineStr">
        <is>
          <t>cliente</t>
        </is>
      </c>
      <c r="E194" s="9" t="inlineStr">
        <is>
          <t>Ref. M-06</t>
        </is>
      </c>
      <c r="F194" s="9" t="inlineStr">
        <is>
          <t>Condicional</t>
        </is>
      </c>
      <c r="G194" s="9" t="inlineStr">
        <is>
          <t>—</t>
        </is>
      </c>
      <c r="H194" s="9" t="inlineStr">
        <is>
          <t>No</t>
        </is>
      </c>
      <c r="I194" s="9" t="inlineStr">
        <is>
          <t>—</t>
        </is>
      </c>
      <c r="J194" s="9" t="inlineStr">
        <is>
          <t>Modelo</t>
        </is>
      </c>
      <c r="K194" s="9" t="inlineStr">
        <is>
          <t>propio</t>
        </is>
      </c>
      <c r="L194" s="9" t="inlineStr">
        <is>
          <t>MD-00.cliente</t>
        </is>
      </c>
      <c r="M194" s="10" t="inlineStr">
        <is>
          <t>Pendiente</t>
        </is>
      </c>
      <c r="N194" s="10" t="n"/>
    </row>
    <row r="195">
      <c r="A195" s="16" t="inlineStr">
        <is>
          <t>M-17</t>
        </is>
      </c>
      <c r="B195" s="16" t="inlineStr">
        <is>
          <t>LineUp</t>
        </is>
      </c>
      <c r="C195" s="16" t="n">
        <v>6</v>
      </c>
      <c r="D195" s="15" t="inlineStr">
        <is>
          <t>shipper</t>
        </is>
      </c>
      <c r="E195" s="16" t="inlineStr">
        <is>
          <t>Texto (80)</t>
        </is>
      </c>
      <c r="F195" s="16" t="inlineStr">
        <is>
          <t>No</t>
        </is>
      </c>
      <c r="G195" s="16" t="inlineStr">
        <is>
          <t>—</t>
        </is>
      </c>
      <c r="H195" s="16" t="inlineStr">
        <is>
          <t>No</t>
        </is>
      </c>
      <c r="I195" s="16" t="inlineStr">
        <is>
          <t>—</t>
        </is>
      </c>
      <c r="J195" s="16" t="inlineStr">
        <is>
          <t>Modelo</t>
        </is>
      </c>
      <c r="K195" s="16" t="inlineStr">
        <is>
          <t>propio</t>
        </is>
      </c>
      <c r="L195" s="16" t="inlineStr">
        <is>
          <t>MD-00.shipper</t>
        </is>
      </c>
      <c r="M195" s="10" t="inlineStr">
        <is>
          <t>Pendiente</t>
        </is>
      </c>
      <c r="N195" s="10" t="n"/>
    </row>
    <row r="196" ht="25" customHeight="1">
      <c r="A196" s="9" t="inlineStr">
        <is>
          <t>M-17</t>
        </is>
      </c>
      <c r="B196" s="9" t="inlineStr">
        <is>
          <t>LineUp</t>
        </is>
      </c>
      <c r="C196" s="9" t="n">
        <v>7</v>
      </c>
      <c r="D196" s="8" t="inlineStr">
        <is>
          <t>agencia</t>
        </is>
      </c>
      <c r="E196" s="9" t="inlineStr">
        <is>
          <t>Ref. M-21</t>
        </is>
      </c>
      <c r="F196" s="9" t="inlineStr">
        <is>
          <t>Condicional</t>
        </is>
      </c>
      <c r="G196" s="9" t="inlineStr">
        <is>
          <t>—</t>
        </is>
      </c>
      <c r="H196" s="9" t="inlineStr">
        <is>
          <t>No</t>
        </is>
      </c>
      <c r="I196" s="9" t="inlineStr">
        <is>
          <t>—</t>
        </is>
      </c>
      <c r="J196" s="9" t="inlineStr">
        <is>
          <t>Modelo</t>
        </is>
      </c>
      <c r="K196" s="9" t="inlineStr">
        <is>
          <t>propio</t>
        </is>
      </c>
      <c r="L196" s="9" t="inlineStr">
        <is>
          <t>MD-00.agencia</t>
        </is>
      </c>
      <c r="M196" s="10" t="inlineStr">
        <is>
          <t>Pendiente</t>
        </is>
      </c>
      <c r="N196" s="10" t="n"/>
    </row>
    <row r="197" ht="25" customHeight="1">
      <c r="A197" s="16" t="inlineStr">
        <is>
          <t>M-17</t>
        </is>
      </c>
      <c r="B197" s="16" t="inlineStr">
        <is>
          <t>LineUp</t>
        </is>
      </c>
      <c r="C197" s="16" t="n">
        <v>8</v>
      </c>
      <c r="D197" s="15" t="inlineStr">
        <is>
          <t>producto</t>
        </is>
      </c>
      <c r="E197" s="16" t="inlineStr">
        <is>
          <t>Ref. M-07</t>
        </is>
      </c>
      <c r="F197" s="16" t="inlineStr">
        <is>
          <t>Condicional</t>
        </is>
      </c>
      <c r="G197" s="16" t="inlineStr">
        <is>
          <t>—</t>
        </is>
      </c>
      <c r="H197" s="16" t="inlineStr">
        <is>
          <t>No</t>
        </is>
      </c>
      <c r="I197" s="16" t="inlineStr">
        <is>
          <t>—</t>
        </is>
      </c>
      <c r="J197" s="16" t="inlineStr">
        <is>
          <t>Modelo</t>
        </is>
      </c>
      <c r="K197" s="16" t="inlineStr">
        <is>
          <t>propio</t>
        </is>
      </c>
      <c r="L197" s="16" t="inlineStr">
        <is>
          <t>MD-00.producto</t>
        </is>
      </c>
      <c r="M197" s="10" t="inlineStr">
        <is>
          <t>Pendiente</t>
        </is>
      </c>
      <c r="N197" s="10" t="n"/>
    </row>
    <row r="198" ht="25" customHeight="1">
      <c r="A198" s="9" t="inlineStr">
        <is>
          <t>M-17</t>
        </is>
      </c>
      <c r="B198" s="9" t="inlineStr">
        <is>
          <t>LineUp</t>
        </is>
      </c>
      <c r="C198" s="9" t="n">
        <v>9</v>
      </c>
      <c r="D198" s="8" t="inlineStr">
        <is>
          <t>tipo_operacion</t>
        </is>
      </c>
      <c r="E198" s="9" t="inlineStr">
        <is>
          <t>Enumerado</t>
        </is>
      </c>
      <c r="F198" s="9" t="inlineStr">
        <is>
          <t>Sí</t>
        </is>
      </c>
      <c r="G198" s="9" t="inlineStr">
        <is>
          <t>descarga · carga · trasbordo · espera · otro</t>
        </is>
      </c>
      <c r="H198" s="9" t="inlineStr">
        <is>
          <t>No</t>
        </is>
      </c>
      <c r="I198" s="9" t="inlineStr">
        <is>
          <t>—</t>
        </is>
      </c>
      <c r="J198" s="9" t="inlineStr">
        <is>
          <t>Modelo</t>
        </is>
      </c>
      <c r="K198" s="9" t="inlineStr">
        <is>
          <t>propio</t>
        </is>
      </c>
      <c r="L198" s="9" t="inlineStr">
        <is>
          <t>MD-00.operacion · MD-00.operacion</t>
        </is>
      </c>
      <c r="M198" s="10" t="inlineStr">
        <is>
          <t>Pendiente</t>
        </is>
      </c>
      <c r="N198" s="10" t="n"/>
    </row>
    <row r="199" ht="25" customHeight="1">
      <c r="A199" s="16" t="inlineStr">
        <is>
          <t>M-17</t>
        </is>
      </c>
      <c r="B199" s="16" t="inlineStr">
        <is>
          <t>LineUp</t>
        </is>
      </c>
      <c r="C199" s="16" t="n">
        <v>10</v>
      </c>
      <c r="D199" s="15" t="inlineStr">
        <is>
          <t>toneladas_nominadas</t>
        </is>
      </c>
      <c r="E199" s="16" t="inlineStr">
        <is>
          <t>Decimal (tn)</t>
        </is>
      </c>
      <c r="F199" s="16" t="inlineStr">
        <is>
          <t>Sí</t>
        </is>
      </c>
      <c r="G199" s="16" t="inlineStr">
        <is>
          <t>&gt; 0</t>
        </is>
      </c>
      <c r="H199" s="16" t="inlineStr">
        <is>
          <t>No</t>
        </is>
      </c>
      <c r="I199" s="16" t="inlineStr">
        <is>
          <t>—</t>
        </is>
      </c>
      <c r="J199" s="16" t="inlineStr">
        <is>
          <t>Modelo</t>
        </is>
      </c>
      <c r="K199" s="16" t="inlineStr">
        <is>
          <t>propio</t>
        </is>
      </c>
      <c r="L199" s="16" t="inlineStr">
        <is>
          <t>MD-00.toneladas_nominadas</t>
        </is>
      </c>
      <c r="M199" s="10" t="inlineStr">
        <is>
          <t>Pendiente</t>
        </is>
      </c>
      <c r="N199" s="10" t="n"/>
    </row>
    <row r="200">
      <c r="A200" s="9" t="inlineStr">
        <is>
          <t>M-17</t>
        </is>
      </c>
      <c r="B200" s="9" t="inlineStr">
        <is>
          <t>LineUp</t>
        </is>
      </c>
      <c r="C200" s="9" t="n">
        <v>11</v>
      </c>
      <c r="D200" s="8" t="inlineStr">
        <is>
          <t>toneladas_para_tys</t>
        </is>
      </c>
      <c r="E200" s="9" t="inlineStr">
        <is>
          <t>Decimal (tn)</t>
        </is>
      </c>
      <c r="F200" s="9" t="inlineStr">
        <is>
          <t>No</t>
        </is>
      </c>
      <c r="G200" s="9" t="inlineStr">
        <is>
          <t>≤ nominadas</t>
        </is>
      </c>
      <c r="H200" s="9" t="inlineStr">
        <is>
          <t>No</t>
        </is>
      </c>
      <c r="I200" s="9" t="inlineStr">
        <is>
          <t>—</t>
        </is>
      </c>
      <c r="J200" s="9" t="inlineStr">
        <is>
          <t>Modelo</t>
        </is>
      </c>
      <c r="K200" s="9" t="inlineStr">
        <is>
          <t>propio</t>
        </is>
      </c>
      <c r="L200" s="9" t="inlineStr">
        <is>
          <t>MD-00.toneladas_para_tys</t>
        </is>
      </c>
      <c r="M200" s="10" t="inlineStr">
        <is>
          <t>Pendiente</t>
        </is>
      </c>
      <c r="N200" s="10" t="n"/>
    </row>
    <row r="201">
      <c r="A201" s="16" t="inlineStr">
        <is>
          <t>M-17</t>
        </is>
      </c>
      <c r="B201" s="16" t="inlineStr">
        <is>
          <t>LineUp</t>
        </is>
      </c>
      <c r="C201" s="16" t="n">
        <v>12</v>
      </c>
      <c r="D201" s="15" t="inlineStr">
        <is>
          <t>alcance_geografico</t>
        </is>
      </c>
      <c r="E201" s="16" t="inlineStr">
        <is>
          <t>Enumerado</t>
        </is>
      </c>
      <c r="F201" s="16" t="inlineStr">
        <is>
          <t>Sí</t>
        </is>
      </c>
      <c r="G201" s="16" t="inlineStr">
        <is>
          <t>solo San Nicolás · San Nicolás + upriver · solo upriver · fuera de interés</t>
        </is>
      </c>
      <c r="H201" s="16" t="inlineStr">
        <is>
          <t>No</t>
        </is>
      </c>
      <c r="I201" s="16" t="inlineStr">
        <is>
          <t>—</t>
        </is>
      </c>
      <c r="J201" s="16" t="inlineStr">
        <is>
          <t>Modelo</t>
        </is>
      </c>
      <c r="K201" s="16" t="inlineStr">
        <is>
          <t>propio</t>
        </is>
      </c>
      <c r="L201" s="16" t="inlineStr">
        <is>
          <t>MD-00.alcance_geografico</t>
        </is>
      </c>
      <c r="M201" s="10" t="inlineStr">
        <is>
          <t>Pendiente</t>
        </is>
      </c>
      <c r="N201" s="10" t="n"/>
    </row>
    <row r="202">
      <c r="A202" s="9" t="inlineStr">
        <is>
          <t>M-17</t>
        </is>
      </c>
      <c r="B202" s="9" t="inlineStr">
        <is>
          <t>LineUp</t>
        </is>
      </c>
      <c r="C202" s="9" t="n">
        <v>13</v>
      </c>
      <c r="D202" s="8" t="inlineStr">
        <is>
          <t>origen</t>
        </is>
      </c>
      <c r="E202" s="9" t="inlineStr">
        <is>
          <t>Texto (60)</t>
        </is>
      </c>
      <c r="F202" s="9" t="inlineStr">
        <is>
          <t>No</t>
        </is>
      </c>
      <c r="G202" s="9" t="inlineStr">
        <is>
          <t>—</t>
        </is>
      </c>
      <c r="H202" s="9" t="inlineStr">
        <is>
          <t>No</t>
        </is>
      </c>
      <c r="I202" s="9" t="inlineStr">
        <is>
          <t>—</t>
        </is>
      </c>
      <c r="J202" s="9" t="inlineStr">
        <is>
          <t>Modelo</t>
        </is>
      </c>
      <c r="K202" s="9" t="inlineStr">
        <is>
          <t>propio</t>
        </is>
      </c>
      <c r="L202" s="9" t="inlineStr">
        <is>
          <t>MD-00.origen / destino · MD-00.origen / destino</t>
        </is>
      </c>
      <c r="M202" s="10" t="inlineStr">
        <is>
          <t>Pendiente</t>
        </is>
      </c>
      <c r="N202" s="10" t="n"/>
    </row>
    <row r="203">
      <c r="A203" s="16" t="inlineStr">
        <is>
          <t>M-17</t>
        </is>
      </c>
      <c r="B203" s="16" t="inlineStr">
        <is>
          <t>LineUp</t>
        </is>
      </c>
      <c r="C203" s="16" t="n">
        <v>14</v>
      </c>
      <c r="D203" s="15" t="inlineStr">
        <is>
          <t>destino</t>
        </is>
      </c>
      <c r="E203" s="16" t="inlineStr">
        <is>
          <t>Texto (60)</t>
        </is>
      </c>
      <c r="F203" s="16" t="inlineStr">
        <is>
          <t>No</t>
        </is>
      </c>
      <c r="G203" s="16" t="inlineStr">
        <is>
          <t>—</t>
        </is>
      </c>
      <c r="H203" s="16" t="inlineStr">
        <is>
          <t>No</t>
        </is>
      </c>
      <c r="I203" s="16" t="inlineStr">
        <is>
          <t>—</t>
        </is>
      </c>
      <c r="J203" s="16" t="inlineStr">
        <is>
          <t>Modelo</t>
        </is>
      </c>
      <c r="K203" s="16" t="inlineStr">
        <is>
          <t>propio</t>
        </is>
      </c>
      <c r="L203" s="16" t="inlineStr">
        <is>
          <t>MD-00.origen / destino · MD-00.origen / destino</t>
        </is>
      </c>
      <c r="M203" s="10" t="inlineStr">
        <is>
          <t>Pendiente</t>
        </is>
      </c>
      <c r="N203" s="10" t="n"/>
    </row>
    <row r="204">
      <c r="A204" s="9" t="inlineStr">
        <is>
          <t>M-17</t>
        </is>
      </c>
      <c r="B204" s="9" t="inlineStr">
        <is>
          <t>LineUp</t>
        </is>
      </c>
      <c r="C204" s="9" t="n">
        <v>15</v>
      </c>
      <c r="D204" s="8" t="inlineStr">
        <is>
          <t>eta</t>
        </is>
      </c>
      <c r="E204" s="9" t="inlineStr">
        <is>
          <t>Fecha y hora</t>
        </is>
      </c>
      <c r="F204" s="9" t="inlineStr">
        <is>
          <t>Sí</t>
        </is>
      </c>
      <c r="G204" s="9" t="inlineStr">
        <is>
          <t>—</t>
        </is>
      </c>
      <c r="H204" s="9" t="inlineStr">
        <is>
          <t>No</t>
        </is>
      </c>
      <c r="I204" s="9" t="inlineStr">
        <is>
          <t>—</t>
        </is>
      </c>
      <c r="J204" s="9" t="inlineStr">
        <is>
          <t>Modelo</t>
        </is>
      </c>
      <c r="K204" s="9" t="inlineStr">
        <is>
          <t>propio</t>
        </is>
      </c>
      <c r="L204" s="9" t="inlineStr">
        <is>
          <t>MD-00.eta / etb / etc · MD-00.eta / etb / etc</t>
        </is>
      </c>
      <c r="M204" s="10" t="inlineStr">
        <is>
          <t>Pendiente</t>
        </is>
      </c>
      <c r="N204" s="10" t="n"/>
    </row>
    <row r="205">
      <c r="A205" s="16" t="inlineStr">
        <is>
          <t>M-17</t>
        </is>
      </c>
      <c r="B205" s="16" t="inlineStr">
        <is>
          <t>LineUp</t>
        </is>
      </c>
      <c r="C205" s="16" t="n">
        <v>16</v>
      </c>
      <c r="D205" s="15" t="inlineStr">
        <is>
          <t>etb</t>
        </is>
      </c>
      <c r="E205" s="16" t="inlineStr">
        <is>
          <t>Fecha y hora</t>
        </is>
      </c>
      <c r="F205" s="16" t="inlineStr">
        <is>
          <t>No</t>
        </is>
      </c>
      <c r="G205" s="16" t="inlineStr">
        <is>
          <t>—</t>
        </is>
      </c>
      <c r="H205" s="16" t="inlineStr">
        <is>
          <t>No</t>
        </is>
      </c>
      <c r="I205" s="16" t="inlineStr">
        <is>
          <t>Tramo portuario (Planificación).</t>
        </is>
      </c>
      <c r="J205" s="16" t="inlineStr">
        <is>
          <t>Modelo</t>
        </is>
      </c>
      <c r="K205" s="16" t="inlineStr">
        <is>
          <t>propio</t>
        </is>
      </c>
      <c r="L205" s="16" t="inlineStr">
        <is>
          <t>MD-00.eta / etb / etc · MD-00.eta / etb / etc</t>
        </is>
      </c>
      <c r="M205" s="10" t="inlineStr">
        <is>
          <t>Con cambios</t>
        </is>
      </c>
      <c r="N205" s="10" t="n"/>
    </row>
    <row r="206">
      <c r="A206" s="9" t="inlineStr">
        <is>
          <t>M-17</t>
        </is>
      </c>
      <c r="B206" s="9" t="inlineStr">
        <is>
          <t>LineUp</t>
        </is>
      </c>
      <c r="C206" s="9" t="n">
        <v>17</v>
      </c>
      <c r="D206" s="8" t="inlineStr">
        <is>
          <t>sitio_atraque</t>
        </is>
      </c>
      <c r="E206" s="9" t="inlineStr">
        <is>
          <t>Ref. M-25 · Texto (60)</t>
        </is>
      </c>
      <c r="F206" s="9" t="inlineStr">
        <is>
          <t>No</t>
        </is>
      </c>
      <c r="G206" s="9" t="inlineStr">
        <is>
          <t>—</t>
        </is>
      </c>
      <c r="H206" s="9" t="inlineStr">
        <is>
          <t>No</t>
        </is>
      </c>
      <c r="I206" s="9" t="inlineStr">
        <is>
          <t>Tramo portuario (Planificación).</t>
        </is>
      </c>
      <c r="J206" s="9" t="inlineStr">
        <is>
          <t>Modelo</t>
        </is>
      </c>
      <c r="K206" s="9" t="inlineStr">
        <is>
          <t>propio</t>
        </is>
      </c>
      <c r="L206" s="9" t="inlineStr">
        <is>
          <t>MD-00.sitio_atraque</t>
        </is>
      </c>
      <c r="M206" s="10" t="inlineStr">
        <is>
          <t>Con cambios</t>
        </is>
      </c>
      <c r="N206" s="10" t="n"/>
    </row>
    <row r="207">
      <c r="A207" s="16" t="inlineStr">
        <is>
          <t>M-17</t>
        </is>
      </c>
      <c r="B207" s="16" t="inlineStr">
        <is>
          <t>LineUp</t>
        </is>
      </c>
      <c r="C207" s="16" t="n">
        <v>18</v>
      </c>
      <c r="D207" s="15" t="inlineStr">
        <is>
          <t>operativo_vinculado</t>
        </is>
      </c>
      <c r="E207" s="16" t="inlineStr">
        <is>
          <t>Texto (14)</t>
        </is>
      </c>
      <c r="F207" s="16" t="inlineStr">
        <is>
          <t>No</t>
        </is>
      </c>
      <c r="G207" s="16" t="inlineStr">
        <is>
          <t>—</t>
        </is>
      </c>
      <c r="H207" s="16" t="inlineStr">
        <is>
          <t>No</t>
        </is>
      </c>
      <c r="I207" s="16" t="inlineStr">
        <is>
          <t>Calculado al abrir el operativo</t>
        </is>
      </c>
      <c r="J207" s="16" t="inlineStr">
        <is>
          <t>Modelo</t>
        </is>
      </c>
      <c r="K207" s="16" t="inlineStr">
        <is>
          <t>calculado</t>
        </is>
      </c>
      <c r="L207" s="16" t="inlineStr">
        <is>
          <t>MD-00.operativo_vinculado</t>
        </is>
      </c>
      <c r="M207" s="10" t="inlineStr">
        <is>
          <t>Pendiente</t>
        </is>
      </c>
      <c r="N207" s="10" t="n"/>
    </row>
    <row r="208">
      <c r="A208" s="9" t="inlineStr">
        <is>
          <t>M-17</t>
        </is>
      </c>
      <c r="B208" s="9" t="inlineStr">
        <is>
          <t>LineUp</t>
        </is>
      </c>
      <c r="C208" s="9" t="n">
        <v>19</v>
      </c>
      <c r="D208" s="8" t="inlineStr">
        <is>
          <t>fuente</t>
        </is>
      </c>
      <c r="E208" s="9" t="inlineStr">
        <is>
          <t>Enumerado</t>
        </is>
      </c>
      <c r="F208" s="9" t="inlineStr">
        <is>
          <t>Sí</t>
        </is>
      </c>
      <c r="G208" s="9" t="inlineStr">
        <is>
          <t>aviso del cliente · LineUp agencia · LineUp CGPSN · LineUp terminal tercera · manual</t>
        </is>
      </c>
      <c r="H208" s="9" t="inlineStr">
        <is>
          <t>No</t>
        </is>
      </c>
      <c r="I208" s="9" t="inlineStr">
        <is>
          <t>—</t>
        </is>
      </c>
      <c r="J208" s="9" t="inlineStr">
        <is>
          <t>Modelo</t>
        </is>
      </c>
      <c r="K208" s="9" t="inlineStr">
        <is>
          <t>propio</t>
        </is>
      </c>
      <c r="L208" s="9" t="inlineStr">
        <is>
          <t>MD-00.fuente</t>
        </is>
      </c>
      <c r="M208" s="10" t="inlineStr">
        <is>
          <t>Pendiente</t>
        </is>
      </c>
      <c r="N208" s="10" t="n"/>
    </row>
    <row r="209">
      <c r="A209" s="16" t="inlineStr">
        <is>
          <t>M-17</t>
        </is>
      </c>
      <c r="B209" s="16" t="inlineStr">
        <is>
          <t>LineUp</t>
        </is>
      </c>
      <c r="C209" s="16" t="n">
        <v>20</v>
      </c>
      <c r="D209" s="15" t="inlineStr">
        <is>
          <t>fecha_version</t>
        </is>
      </c>
      <c r="E209" s="16" t="inlineStr">
        <is>
          <t>Fecha</t>
        </is>
      </c>
      <c r="F209" s="16" t="inlineStr">
        <is>
          <t>Sí</t>
        </is>
      </c>
      <c r="G209" s="16" t="inlineStr">
        <is>
          <t>—</t>
        </is>
      </c>
      <c r="H209" s="16" t="inlineStr">
        <is>
          <t>No</t>
        </is>
      </c>
      <c r="I209" s="16" t="inlineStr">
        <is>
          <t>—</t>
        </is>
      </c>
      <c r="J209" s="16" t="inlineStr">
        <is>
          <t>Modelo</t>
        </is>
      </c>
      <c r="K209" s="16" t="inlineStr">
        <is>
          <t>propio</t>
        </is>
      </c>
      <c r="L209" s="16" t="inlineStr">
        <is>
          <t>MD-00.fecha_version_fuente · MD-00.fecha_version_fuente</t>
        </is>
      </c>
      <c r="M209" s="10" t="inlineStr">
        <is>
          <t>Pendiente</t>
        </is>
      </c>
      <c r="N209" s="10" t="n"/>
    </row>
    <row r="210" ht="37.5" customHeight="1">
      <c r="A210" s="9" t="inlineStr">
        <is>
          <t>M-17</t>
        </is>
      </c>
      <c r="B210" s="9" t="inlineStr">
        <is>
          <t>LineUp</t>
        </is>
      </c>
      <c r="C210" s="9" t="n">
        <v>21</v>
      </c>
      <c r="D210" s="8" t="inlineStr">
        <is>
          <t>estado</t>
        </is>
      </c>
      <c r="E210" s="9" t="inlineStr">
        <is>
          <t>Enumerado</t>
        </is>
      </c>
      <c r="F210" s="9" t="inlineStr">
        <is>
          <t>Sí</t>
        </is>
      </c>
      <c r="G210" s="9" t="inlineStr">
        <is>
          <t>proyectado · confirmado · en rada · atracado · operando · finalizado · cancelado</t>
        </is>
      </c>
      <c r="H210" s="9" t="inlineStr">
        <is>
          <t>No</t>
        </is>
      </c>
      <c r="I210" s="9" t="inlineStr">
        <is>
          <t>Tramo portuario (Planificación).</t>
        </is>
      </c>
      <c r="J210" s="9" t="inlineStr">
        <is>
          <t>Modelo</t>
        </is>
      </c>
      <c r="K210" s="9" t="inlineStr">
        <is>
          <t>propio</t>
        </is>
      </c>
      <c r="L210" s="9" t="inlineStr">
        <is>
          <t>MD-00.estado_lineup · MD-00.estado_lineup</t>
        </is>
      </c>
      <c r="M210" s="10" t="inlineStr">
        <is>
          <t>Con cambios</t>
        </is>
      </c>
      <c r="N210" s="10" t="n"/>
    </row>
    <row r="211" ht="37.5" customHeight="1">
      <c r="A211" s="17" t="inlineStr">
        <is>
          <t>M-17</t>
        </is>
      </c>
      <c r="B211" s="17" t="inlineStr">
        <is>
          <t>LineUp</t>
        </is>
      </c>
      <c r="C211" s="17" t="n">
        <v>22</v>
      </c>
      <c r="D211" s="18" t="inlineStr">
        <is>
          <t>etc ★</t>
        </is>
      </c>
      <c r="E211" s="17" t="inlineStr">
        <is>
          <t>Fecha y hora</t>
        </is>
      </c>
      <c r="F211" s="17" t="inlineStr">
        <is>
          <t>No</t>
        </is>
      </c>
      <c r="G211" s="17" t="inlineStr">
        <is>
          <t>—</t>
        </is>
      </c>
      <c r="H211" s="17" t="inlineStr">
        <is>
          <t>No</t>
        </is>
      </c>
      <c r="I211" s="17" t="inlineStr">
        <is>
          <t>Fin estimado de la operación</t>
        </is>
      </c>
      <c r="J211" s="17" t="inlineStr">
        <is>
          <t>★ Simulador</t>
        </is>
      </c>
      <c r="K211" s="17" t="inlineStr">
        <is>
          <t>propio</t>
        </is>
      </c>
      <c r="L211" s="17" t="inlineStr">
        <is>
          <t>MD-00.eta / etb / etc · MD-00.eta / etb / etc</t>
        </is>
      </c>
      <c r="M211" s="10" t="inlineStr">
        <is>
          <t>Pendiente</t>
        </is>
      </c>
      <c r="N211" s="10" t="n"/>
    </row>
    <row r="212">
      <c r="A212" s="17" t="inlineStr">
        <is>
          <t>M-17</t>
        </is>
      </c>
      <c r="B212" s="17" t="inlineStr">
        <is>
          <t>LineUp</t>
        </is>
      </c>
      <c r="C212" s="17" t="n">
        <v>23</v>
      </c>
      <c r="D212" s="18" t="inlineStr">
        <is>
          <t>orden_puerto ★</t>
        </is>
      </c>
      <c r="E212" s="17" t="inlineStr">
        <is>
          <t>Entero</t>
        </is>
      </c>
      <c r="F212" s="17" t="inlineStr">
        <is>
          <t>No</t>
        </is>
      </c>
      <c r="G212" s="17" t="inlineStr">
        <is>
          <t>≥ 0</t>
        </is>
      </c>
      <c r="H212" s="17" t="inlineStr">
        <is>
          <t>No</t>
        </is>
      </c>
      <c r="I212" s="17" t="inlineStr">
        <is>
          <t>Secuencia de atraque en el mismo sitio: gobierna el inicio de la descarga</t>
        </is>
      </c>
      <c r="J212" s="17" t="inlineStr">
        <is>
          <t>★ Simulador</t>
        </is>
      </c>
      <c r="K212" s="17" t="inlineStr">
        <is>
          <t>propio</t>
        </is>
      </c>
      <c r="L212" s="17" t="inlineStr">
        <is>
          <t>— (nuevo)</t>
        </is>
      </c>
      <c r="M212" s="10" t="inlineStr">
        <is>
          <t>Pendiente</t>
        </is>
      </c>
      <c r="N212" s="10" t="n"/>
    </row>
    <row r="213">
      <c r="A213" s="17" t="inlineStr">
        <is>
          <t>M-17</t>
        </is>
      </c>
      <c r="B213" s="17" t="inlineStr">
        <is>
          <t>LineUp</t>
        </is>
      </c>
      <c r="C213" s="17" t="n">
        <v>24</v>
      </c>
      <c r="D213" s="18" t="inlineStr">
        <is>
          <t>buque_texto_fuente ★</t>
        </is>
      </c>
      <c r="E213" s="17" t="inlineStr">
        <is>
          <t>Texto (80)</t>
        </is>
      </c>
      <c r="F213" s="17" t="inlineStr">
        <is>
          <t>No</t>
        </is>
      </c>
      <c r="G213" s="17" t="inlineStr">
        <is>
          <t>—</t>
        </is>
      </c>
      <c r="H213" s="17" t="inlineStr">
        <is>
          <t>No</t>
        </is>
      </c>
      <c r="I213" s="17" t="inlineStr">
        <is>
          <t>Texto de la fuente hasta homologar contra 8 Buques</t>
        </is>
      </c>
      <c r="J213" s="17" t="inlineStr">
        <is>
          <t>★ Simulador</t>
        </is>
      </c>
      <c r="K213" s="17" t="inlineStr">
        <is>
          <t>propio</t>
        </is>
      </c>
      <c r="L213" s="17" t="inlineStr">
        <is>
          <t>MD-00.buque_texto_fuente</t>
        </is>
      </c>
      <c r="M213" s="10" t="inlineStr">
        <is>
          <t>Pendiente</t>
        </is>
      </c>
      <c r="N213" s="10" t="n"/>
    </row>
    <row r="214">
      <c r="A214" s="17" t="inlineStr">
        <is>
          <t>M-17</t>
        </is>
      </c>
      <c r="B214" s="17" t="inlineStr">
        <is>
          <t>LineUp</t>
        </is>
      </c>
      <c r="C214" s="17" t="n">
        <v>25</v>
      </c>
      <c r="D214" s="18" t="inlineStr">
        <is>
          <t>cliente_texto_fuente ★</t>
        </is>
      </c>
      <c r="E214" s="17" t="inlineStr">
        <is>
          <t>Texto (80)</t>
        </is>
      </c>
      <c r="F214" s="17" t="inlineStr">
        <is>
          <t>No</t>
        </is>
      </c>
      <c r="G214" s="17" t="inlineStr">
        <is>
          <t>—</t>
        </is>
      </c>
      <c r="H214" s="17" t="inlineStr">
        <is>
          <t>No</t>
        </is>
      </c>
      <c r="I214" s="17" t="inlineStr">
        <is>
          <t>Texto de la fuente hasta homologar</t>
        </is>
      </c>
      <c r="J214" s="17" t="inlineStr">
        <is>
          <t>★ Simulador</t>
        </is>
      </c>
      <c r="K214" s="17" t="inlineStr">
        <is>
          <t>propio</t>
        </is>
      </c>
      <c r="L214" s="17" t="inlineStr">
        <is>
          <t>MD-00.cliente_texto_fuente</t>
        </is>
      </c>
      <c r="M214" s="10" t="inlineStr">
        <is>
          <t>Pendiente</t>
        </is>
      </c>
      <c r="N214" s="10" t="n"/>
    </row>
    <row r="215">
      <c r="A215" s="17" t="inlineStr">
        <is>
          <t>M-17</t>
        </is>
      </c>
      <c r="B215" s="17" t="inlineStr">
        <is>
          <t>LineUp</t>
        </is>
      </c>
      <c r="C215" s="17" t="n">
        <v>26</v>
      </c>
      <c r="D215" s="18" t="inlineStr">
        <is>
          <t>producto_texto_fuente ★</t>
        </is>
      </c>
      <c r="E215" s="17" t="inlineStr">
        <is>
          <t>Texto (60)</t>
        </is>
      </c>
      <c r="F215" s="17" t="inlineStr">
        <is>
          <t>No</t>
        </is>
      </c>
      <c r="G215" s="17" t="inlineStr">
        <is>
          <t>—</t>
        </is>
      </c>
      <c r="H215" s="17" t="inlineStr">
        <is>
          <t>No</t>
        </is>
      </c>
      <c r="I215" s="17" t="inlineStr">
        <is>
          <t>Texto de la fuente hasta homologar</t>
        </is>
      </c>
      <c r="J215" s="17" t="inlineStr">
        <is>
          <t>★ Simulador</t>
        </is>
      </c>
      <c r="K215" s="17" t="inlineStr">
        <is>
          <t>propio</t>
        </is>
      </c>
      <c r="L215" s="17" t="inlineStr">
        <is>
          <t>MD-00.producto_texto_fuente</t>
        </is>
      </c>
      <c r="M215" s="10" t="inlineStr">
        <is>
          <t>Pendiente</t>
        </is>
      </c>
      <c r="N215" s="10" t="n"/>
    </row>
    <row r="216">
      <c r="A216" s="17" t="inlineStr">
        <is>
          <t>M-17</t>
        </is>
      </c>
      <c r="B216" s="17" t="inlineStr">
        <is>
          <t>LineUp</t>
        </is>
      </c>
      <c r="C216" s="17" t="n">
        <v>27</v>
      </c>
      <c r="D216" s="18" t="inlineStr">
        <is>
          <t>homologado ★</t>
        </is>
      </c>
      <c r="E216" s="17" t="inlineStr">
        <is>
          <t>Lógico</t>
        </is>
      </c>
      <c r="F216" s="17" t="inlineStr">
        <is>
          <t>No</t>
        </is>
      </c>
      <c r="G216" s="17" t="inlineStr">
        <is>
          <t>—</t>
        </is>
      </c>
      <c r="H216" s="17" t="inlineStr">
        <is>
          <t>No</t>
        </is>
      </c>
      <c r="I216" s="17" t="inlineStr">
        <is>
          <t>Calculado: buque, cliente, producto y agencia resueltos</t>
        </is>
      </c>
      <c r="J216" s="17" t="inlineStr">
        <is>
          <t>★ Simulador</t>
        </is>
      </c>
      <c r="K216" s="17" t="inlineStr">
        <is>
          <t>calculado</t>
        </is>
      </c>
      <c r="L216" s="17" t="inlineStr">
        <is>
          <t>MD-00.homologado</t>
        </is>
      </c>
      <c r="M216" s="10" t="inlineStr">
        <is>
          <t>Pendiente</t>
        </is>
      </c>
      <c r="N216" s="10" t="n"/>
    </row>
    <row r="217">
      <c r="A217" s="17" t="inlineStr">
        <is>
          <t>M-17</t>
        </is>
      </c>
      <c r="B217" s="17" t="inlineStr">
        <is>
          <t>LineUp</t>
        </is>
      </c>
      <c r="C217" s="17" t="n">
        <v>28</v>
      </c>
      <c r="D217" s="18" t="inlineStr">
        <is>
          <t>nominado_a_tys ★</t>
        </is>
      </c>
      <c r="E217" s="17" t="inlineStr">
        <is>
          <t>Lógico</t>
        </is>
      </c>
      <c r="F217" s="17" t="inlineStr">
        <is>
          <t>No</t>
        </is>
      </c>
      <c r="G217" s="17" t="inlineStr">
        <is>
          <t>—</t>
        </is>
      </c>
      <c r="H217" s="17" t="inlineStr">
        <is>
          <t>No</t>
        </is>
      </c>
      <c r="I217" s="17" t="inlineStr">
        <is>
          <t>Calculado: pasa a Sí al registrar el aviso</t>
        </is>
      </c>
      <c r="J217" s="17" t="inlineStr">
        <is>
          <t>★ Simulador</t>
        </is>
      </c>
      <c r="K217" s="17" t="inlineStr">
        <is>
          <t>calculado</t>
        </is>
      </c>
      <c r="L217" s="17" t="inlineStr">
        <is>
          <t>MD-00.nominado_a_tys</t>
        </is>
      </c>
      <c r="M217" s="10" t="inlineStr">
        <is>
          <t>Pendiente</t>
        </is>
      </c>
      <c r="N217" s="10" t="n"/>
    </row>
    <row r="218">
      <c r="A218" s="17" t="inlineStr">
        <is>
          <t>M-17</t>
        </is>
      </c>
      <c r="B218" s="17" t="inlineStr">
        <is>
          <t>LineUp</t>
        </is>
      </c>
      <c r="C218" s="17" t="n">
        <v>29</v>
      </c>
      <c r="D218" s="18" t="inlineStr">
        <is>
          <t>observaciones ★</t>
        </is>
      </c>
      <c r="E218" s="17" t="inlineStr">
        <is>
          <t>Texto (250)</t>
        </is>
      </c>
      <c r="F218" s="17" t="inlineStr">
        <is>
          <t>No</t>
        </is>
      </c>
      <c r="G218" s="17" t="inlineStr">
        <is>
          <t>—</t>
        </is>
      </c>
      <c r="H218" s="17" t="inlineStr">
        <is>
          <t>No</t>
        </is>
      </c>
      <c r="I218" s="17" t="inlineStr">
        <is>
          <t>PROPUESTO POR EL SIMULADOR</t>
        </is>
      </c>
      <c r="J218" s="17" t="inlineStr">
        <is>
          <t>★ Simulador</t>
        </is>
      </c>
      <c r="K218" s="17" t="inlineStr">
        <is>
          <t>propio</t>
        </is>
      </c>
      <c r="L218" s="17" t="inlineStr">
        <is>
          <t>MD-00.observaciones</t>
        </is>
      </c>
      <c r="M218" s="10" t="inlineStr">
        <is>
          <t>Pendiente</t>
        </is>
      </c>
      <c r="N218" s="10" t="n"/>
    </row>
    <row r="219" ht="25" customHeight="1">
      <c r="A219" s="16" t="inlineStr">
        <is>
          <t>M-18</t>
        </is>
      </c>
      <c r="B219" s="16" t="inlineStr">
        <is>
          <t>Monedas y cotizaciones</t>
        </is>
      </c>
      <c r="C219" s="16" t="n">
        <v>1</v>
      </c>
      <c r="D219" s="15" t="inlineStr">
        <is>
          <t>codigo</t>
        </is>
      </c>
      <c r="E219" s="16" t="inlineStr">
        <is>
          <t>Código (3)</t>
        </is>
      </c>
      <c r="F219" s="16" t="inlineStr">
        <is>
          <t>Sí</t>
        </is>
      </c>
      <c r="G219" s="16" t="inlineStr">
        <is>
          <t>ISO 4217</t>
        </is>
      </c>
      <c r="H219" s="16" t="inlineStr">
        <is>
          <t>No</t>
        </is>
      </c>
      <c r="I219" s="16" t="inlineStr">
        <is>
          <t>—</t>
        </is>
      </c>
      <c r="J219" s="16" t="inlineStr">
        <is>
          <t>Modelo</t>
        </is>
      </c>
      <c r="K219" s="16" t="inlineStr">
        <is>
          <t>propio</t>
        </is>
      </c>
      <c r="L219" s="16" t="inlineStr">
        <is>
          <t>MD-32.codigo</t>
        </is>
      </c>
      <c r="M219" s="10" t="inlineStr">
        <is>
          <t>Pendiente</t>
        </is>
      </c>
      <c r="N219" s="10" t="n"/>
    </row>
    <row r="220" ht="25" customHeight="1">
      <c r="A220" s="9" t="inlineStr">
        <is>
          <t>M-18</t>
        </is>
      </c>
      <c r="B220" s="9" t="inlineStr">
        <is>
          <t>Monedas y cotizaciones</t>
        </is>
      </c>
      <c r="C220" s="9" t="n">
        <v>2</v>
      </c>
      <c r="D220" s="8" t="inlineStr">
        <is>
          <t>nombre</t>
        </is>
      </c>
      <c r="E220" s="9" t="inlineStr">
        <is>
          <t>Texto (40)</t>
        </is>
      </c>
      <c r="F220" s="9" t="inlineStr">
        <is>
          <t>Sí</t>
        </is>
      </c>
      <c r="G220" s="9" t="inlineStr">
        <is>
          <t>—</t>
        </is>
      </c>
      <c r="H220" s="9" t="inlineStr">
        <is>
          <t>No</t>
        </is>
      </c>
      <c r="I220" s="9" t="inlineStr">
        <is>
          <t>—</t>
        </is>
      </c>
      <c r="J220" s="9" t="inlineStr">
        <is>
          <t>Modelo</t>
        </is>
      </c>
      <c r="K220" s="9" t="inlineStr">
        <is>
          <t>propio</t>
        </is>
      </c>
      <c r="L220" s="9" t="inlineStr">
        <is>
          <t>MD-32.nombre</t>
        </is>
      </c>
      <c r="M220" s="10" t="inlineStr">
        <is>
          <t>Pendiente</t>
        </is>
      </c>
      <c r="N220" s="10" t="n"/>
    </row>
    <row r="221">
      <c r="A221" s="16" t="inlineStr">
        <is>
          <t>M-18</t>
        </is>
      </c>
      <c r="B221" s="16" t="inlineStr">
        <is>
          <t>Monedas y cotizaciones</t>
        </is>
      </c>
      <c r="C221" s="16" t="n">
        <v>3</v>
      </c>
      <c r="D221" s="15" t="inlineStr">
        <is>
          <t>fuente_cotizacion</t>
        </is>
      </c>
      <c r="E221" s="16" t="inlineStr">
        <is>
          <t>Enumerado</t>
        </is>
      </c>
      <c r="F221" s="16" t="inlineStr">
        <is>
          <t>Sí</t>
        </is>
      </c>
      <c r="G221" s="16" t="inlineStr">
        <is>
          <t>BNA · BCRA · manual</t>
        </is>
      </c>
      <c r="H221" s="16" t="inlineStr">
        <is>
          <t>No</t>
        </is>
      </c>
      <c r="I221" s="16" t="inlineStr">
        <is>
          <t>—</t>
        </is>
      </c>
      <c r="J221" s="16" t="inlineStr">
        <is>
          <t>Modelo</t>
        </is>
      </c>
      <c r="K221" s="16" t="inlineStr">
        <is>
          <t>propio</t>
        </is>
      </c>
      <c r="L221" s="16" t="inlineStr">
        <is>
          <t>MD-32.fuente_cotizacion</t>
        </is>
      </c>
      <c r="M221" s="10" t="inlineStr">
        <is>
          <t>Pendiente</t>
        </is>
      </c>
      <c r="N221" s="10" t="n"/>
    </row>
    <row r="222">
      <c r="A222" s="9" t="inlineStr">
        <is>
          <t>M-18</t>
        </is>
      </c>
      <c r="B222" s="9" t="inlineStr">
        <is>
          <t>Monedas y cotizaciones</t>
        </is>
      </c>
      <c r="C222" s="9" t="n">
        <v>4</v>
      </c>
      <c r="D222" s="8" t="inlineStr">
        <is>
          <t>fecha_cotizacion</t>
        </is>
      </c>
      <c r="E222" s="9" t="inlineStr">
        <is>
          <t>Fecha</t>
        </is>
      </c>
      <c r="F222" s="9" t="inlineStr">
        <is>
          <t>Sí</t>
        </is>
      </c>
      <c r="G222" s="9" t="inlineStr">
        <is>
          <t>—</t>
        </is>
      </c>
      <c r="H222" s="9" t="inlineStr">
        <is>
          <t>No</t>
        </is>
      </c>
      <c r="I222" s="9" t="inlineStr">
        <is>
          <t>—</t>
        </is>
      </c>
      <c r="J222" s="9" t="inlineStr">
        <is>
          <t>Modelo</t>
        </is>
      </c>
      <c r="K222" s="9" t="inlineStr">
        <is>
          <t>propio</t>
        </is>
      </c>
      <c r="L222" s="9" t="inlineStr">
        <is>
          <t>MD-32.cotizacion_fecha_valor · MD-32.cotizacion_fecha_valor</t>
        </is>
      </c>
      <c r="M222" s="10" t="inlineStr">
        <is>
          <t>Pendiente</t>
        </is>
      </c>
      <c r="N222" s="10" t="n"/>
    </row>
    <row r="223">
      <c r="A223" s="16" t="inlineStr">
        <is>
          <t>M-18</t>
        </is>
      </c>
      <c r="B223" s="16" t="inlineStr">
        <is>
          <t>Monedas y cotizaciones</t>
        </is>
      </c>
      <c r="C223" s="16" t="n">
        <v>5</v>
      </c>
      <c r="D223" s="15" t="inlineStr">
        <is>
          <t>valor</t>
        </is>
      </c>
      <c r="E223" s="16" t="inlineStr">
        <is>
          <t>Decimal (14,6)</t>
        </is>
      </c>
      <c r="F223" s="16" t="inlineStr">
        <is>
          <t>Sí</t>
        </is>
      </c>
      <c r="G223" s="16" t="inlineStr">
        <is>
          <t>&gt; 0</t>
        </is>
      </c>
      <c r="H223" s="16" t="inlineStr">
        <is>
          <t>No</t>
        </is>
      </c>
      <c r="I223" s="16" t="inlineStr">
        <is>
          <t>—</t>
        </is>
      </c>
      <c r="J223" s="16" t="inlineStr">
        <is>
          <t>Modelo</t>
        </is>
      </c>
      <c r="K223" s="16" t="inlineStr">
        <is>
          <t>propio</t>
        </is>
      </c>
      <c r="L223" s="16" t="inlineStr">
        <is>
          <t>MD-32.cotizacion_fecha_valor · MD-32.cotizacion_fecha_valor</t>
        </is>
      </c>
      <c r="M223" s="10" t="inlineStr">
        <is>
          <t>Pendiente</t>
        </is>
      </c>
      <c r="N223" s="10" t="n"/>
    </row>
    <row r="224">
      <c r="A224" s="9" t="inlineStr">
        <is>
          <t>M-18</t>
        </is>
      </c>
      <c r="B224" s="9" t="inlineStr">
        <is>
          <t>Monedas y cotizaciones</t>
        </is>
      </c>
      <c r="C224" s="9" t="n">
        <v>6</v>
      </c>
      <c r="D224" s="8" t="inlineStr">
        <is>
          <t>estado</t>
        </is>
      </c>
      <c r="E224" s="9" t="inlineStr">
        <is>
          <t>Enumerado</t>
        </is>
      </c>
      <c r="F224" s="9" t="inlineStr">
        <is>
          <t>Sí</t>
        </is>
      </c>
      <c r="G224" s="9" t="inlineStr">
        <is>
          <t>activa · inactiva</t>
        </is>
      </c>
      <c r="H224" s="9" t="inlineStr">
        <is>
          <t>No</t>
        </is>
      </c>
      <c r="I224" s="9" t="inlineStr">
        <is>
          <t>—</t>
        </is>
      </c>
      <c r="J224" s="9" t="inlineStr">
        <is>
          <t>Modelo</t>
        </is>
      </c>
      <c r="K224" s="9" t="inlineStr">
        <is>
          <t>propio</t>
        </is>
      </c>
      <c r="L224" s="9" t="inlineStr">
        <is>
          <t>MD-32.estado</t>
        </is>
      </c>
      <c r="M224" s="10" t="inlineStr">
        <is>
          <t>Pendiente</t>
        </is>
      </c>
      <c r="N224" s="10" t="n"/>
    </row>
    <row r="225" ht="25" customHeight="1">
      <c r="A225" s="16" t="inlineStr">
        <is>
          <t>M-19</t>
        </is>
      </c>
      <c r="B225" s="16" t="inlineStr">
        <is>
          <t>Calendario y turnos</t>
        </is>
      </c>
      <c r="C225" s="16" t="n">
        <v>1</v>
      </c>
      <c r="D225" s="15" t="inlineStr">
        <is>
          <t>planta</t>
        </is>
      </c>
      <c r="E225" s="16" t="inlineStr">
        <is>
          <t>Ref. M-09</t>
        </is>
      </c>
      <c r="F225" s="16" t="inlineStr">
        <is>
          <t>Sí</t>
        </is>
      </c>
      <c r="G225" s="16" t="inlineStr">
        <is>
          <t>—</t>
        </is>
      </c>
      <c r="H225" s="16" t="inlineStr">
        <is>
          <t>No</t>
        </is>
      </c>
      <c r="I225" s="16" t="inlineStr">
        <is>
          <t>—</t>
        </is>
      </c>
      <c r="J225" s="16" t="inlineStr">
        <is>
          <t>Modelo</t>
        </is>
      </c>
      <c r="K225" s="16" t="inlineStr">
        <is>
          <t>propio</t>
        </is>
      </c>
      <c r="L225" s="16" t="inlineStr">
        <is>
          <t>MD-03.planta</t>
        </is>
      </c>
      <c r="M225" s="10" t="inlineStr">
        <is>
          <t>Pendiente</t>
        </is>
      </c>
      <c r="N225" s="10" t="n"/>
    </row>
    <row r="226" ht="50" customHeight="1">
      <c r="A226" s="9" t="inlineStr">
        <is>
          <t>M-19</t>
        </is>
      </c>
      <c r="B226" s="9" t="inlineStr">
        <is>
          <t>Calendario y turnos</t>
        </is>
      </c>
      <c r="C226" s="9" t="n">
        <v>2</v>
      </c>
      <c r="D226" s="8" t="inlineStr">
        <is>
          <t>fecha</t>
        </is>
      </c>
      <c r="E226" s="9" t="inlineStr">
        <is>
          <t>Fecha</t>
        </is>
      </c>
      <c r="F226" s="9" t="inlineStr">
        <is>
          <t>Sí</t>
        </is>
      </c>
      <c r="G226" s="9" t="inlineStr">
        <is>
          <t>—</t>
        </is>
      </c>
      <c r="H226" s="9" t="inlineStr">
        <is>
          <t>No</t>
        </is>
      </c>
      <c r="I226" s="9" t="inlineStr">
        <is>
          <t>—</t>
        </is>
      </c>
      <c r="J226" s="9" t="inlineStr">
        <is>
          <t>Modelo</t>
        </is>
      </c>
      <c r="K226" s="9" t="inlineStr">
        <is>
          <t>propio</t>
        </is>
      </c>
      <c r="L226" s="9" t="inlineStr">
        <is>
          <t>MD-03.fecha</t>
        </is>
      </c>
      <c r="M226" s="10" t="inlineStr">
        <is>
          <t>Pendiente</t>
        </is>
      </c>
      <c r="N226" s="10" t="n"/>
    </row>
    <row r="227" ht="25" customHeight="1">
      <c r="A227" s="16" t="inlineStr">
        <is>
          <t>M-19</t>
        </is>
      </c>
      <c r="B227" s="16" t="inlineStr">
        <is>
          <t>Calendario y turnos</t>
        </is>
      </c>
      <c r="C227" s="16" t="n">
        <v>3</v>
      </c>
      <c r="D227" s="15" t="inlineStr">
        <is>
          <t>clase_dia</t>
        </is>
      </c>
      <c r="E227" s="16" t="inlineStr">
        <is>
          <t>Enumerado</t>
        </is>
      </c>
      <c r="F227" s="16" t="inlineStr">
        <is>
          <t>Sí</t>
        </is>
      </c>
      <c r="G227" s="16" t="inlineStr">
        <is>
          <t>hábil · inhábil · feriado</t>
        </is>
      </c>
      <c r="H227" s="16" t="inlineStr">
        <is>
          <t>No</t>
        </is>
      </c>
      <c r="I227" s="16" t="inlineStr">
        <is>
          <t>—</t>
        </is>
      </c>
      <c r="J227" s="16" t="inlineStr">
        <is>
          <t>Modelo</t>
        </is>
      </c>
      <c r="K227" s="16" t="inlineStr">
        <is>
          <t>propio</t>
        </is>
      </c>
      <c r="L227" s="16" t="inlineStr">
        <is>
          <t>MD-03.clase_dia</t>
        </is>
      </c>
      <c r="M227" s="10" t="inlineStr">
        <is>
          <t>Pendiente</t>
        </is>
      </c>
      <c r="N227" s="10" t="n"/>
    </row>
    <row r="228">
      <c r="A228" s="9" t="inlineStr">
        <is>
          <t>M-19</t>
        </is>
      </c>
      <c r="B228" s="9" t="inlineStr">
        <is>
          <t>Calendario y turnos</t>
        </is>
      </c>
      <c r="C228" s="9" t="n">
        <v>4</v>
      </c>
      <c r="D228" s="8" t="inlineStr">
        <is>
          <t>turno_codigo</t>
        </is>
      </c>
      <c r="E228" s="9" t="inlineStr">
        <is>
          <t>Ref. M-33</t>
        </is>
      </c>
      <c r="F228" s="9" t="inlineStr">
        <is>
          <t>Sí</t>
        </is>
      </c>
      <c r="G228" s="9" t="inlineStr">
        <is>
          <t>turno del régimen (T1..T4)</t>
        </is>
      </c>
      <c r="H228" s="9" t="inlineStr">
        <is>
          <t>No</t>
        </is>
      </c>
      <c r="I228" s="9" t="inlineStr">
        <is>
          <t>Revisión 15/09/2026: los turnos salen de 33 Régimen de turnos (4 × 6 h)</t>
        </is>
      </c>
      <c r="J228" s="9" t="inlineStr">
        <is>
          <t>Modelo</t>
        </is>
      </c>
      <c r="K228" s="9" t="inlineStr">
        <is>
          <t>propio</t>
        </is>
      </c>
      <c r="L228" s="9" t="inlineStr">
        <is>
          <t>MD-03.turno_codigo</t>
        </is>
      </c>
      <c r="M228" s="10" t="inlineStr">
        <is>
          <t>Con cambios</t>
        </is>
      </c>
      <c r="N228" s="10" t="n"/>
    </row>
    <row r="229">
      <c r="A229" s="16" t="inlineStr">
        <is>
          <t>M-19</t>
        </is>
      </c>
      <c r="B229" s="16" t="inlineStr">
        <is>
          <t>Calendario y turnos</t>
        </is>
      </c>
      <c r="C229" s="16" t="n">
        <v>5</v>
      </c>
      <c r="D229" s="15" t="inlineStr">
        <is>
          <t>hora_desde</t>
        </is>
      </c>
      <c r="E229" s="16" t="inlineStr">
        <is>
          <t>Hora</t>
        </is>
      </c>
      <c r="F229" s="16" t="inlineStr">
        <is>
          <t>Sí</t>
        </is>
      </c>
      <c r="G229" s="16" t="inlineStr">
        <is>
          <t>—</t>
        </is>
      </c>
      <c r="H229" s="16" t="inlineStr">
        <is>
          <t>No</t>
        </is>
      </c>
      <c r="I229" s="16" t="inlineStr">
        <is>
          <t>—</t>
        </is>
      </c>
      <c r="J229" s="16" t="inlineStr">
        <is>
          <t>Modelo</t>
        </is>
      </c>
      <c r="K229" s="16" t="inlineStr">
        <is>
          <t>propio</t>
        </is>
      </c>
      <c r="L229" s="16" t="inlineStr">
        <is>
          <t>MD-03.hora_desde_hasta</t>
        </is>
      </c>
      <c r="M229" s="10" t="inlineStr">
        <is>
          <t>Pendiente</t>
        </is>
      </c>
      <c r="N229" s="10" t="n"/>
    </row>
    <row r="230" ht="25" customHeight="1">
      <c r="A230" s="9" t="inlineStr">
        <is>
          <t>M-19</t>
        </is>
      </c>
      <c r="B230" s="9" t="inlineStr">
        <is>
          <t>Calendario y turnos</t>
        </is>
      </c>
      <c r="C230" s="9" t="n">
        <v>6</v>
      </c>
      <c r="D230" s="8" t="inlineStr">
        <is>
          <t>hora_hasta</t>
        </is>
      </c>
      <c r="E230" s="9" t="inlineStr">
        <is>
          <t>Hora</t>
        </is>
      </c>
      <c r="F230" s="9" t="inlineStr">
        <is>
          <t>Sí</t>
        </is>
      </c>
      <c r="G230" s="9" t="inlineStr">
        <is>
          <t>—</t>
        </is>
      </c>
      <c r="H230" s="9" t="inlineStr">
        <is>
          <t>No</t>
        </is>
      </c>
      <c r="I230" s="9" t="inlineStr">
        <is>
          <t>—</t>
        </is>
      </c>
      <c r="J230" s="9" t="inlineStr">
        <is>
          <t>Modelo</t>
        </is>
      </c>
      <c r="K230" s="9" t="inlineStr">
        <is>
          <t>propio</t>
        </is>
      </c>
      <c r="L230" s="9" t="inlineStr">
        <is>
          <t>MD-03.hora_desde_hasta</t>
        </is>
      </c>
      <c r="M230" s="10" t="inlineStr">
        <is>
          <t>Pendiente</t>
        </is>
      </c>
      <c r="N230" s="10" t="n"/>
    </row>
    <row r="231" ht="25" customHeight="1">
      <c r="A231" s="16" t="inlineStr">
        <is>
          <t>M-19</t>
        </is>
      </c>
      <c r="B231" s="16" t="inlineStr">
        <is>
          <t>Calendario y turnos</t>
        </is>
      </c>
      <c r="C231" s="16" t="n">
        <v>7</v>
      </c>
      <c r="D231" s="15" t="inlineStr">
        <is>
          <t>banda_horaria</t>
        </is>
      </c>
      <c r="E231" s="16" t="inlineStr">
        <is>
          <t>Texto (20)</t>
        </is>
      </c>
      <c r="F231" s="16" t="inlineStr">
        <is>
          <t>No</t>
        </is>
      </c>
      <c r="G231" s="16" t="inlineStr">
        <is>
          <t>—</t>
        </is>
      </c>
      <c r="H231" s="16" t="inlineStr">
        <is>
          <t>No</t>
        </is>
      </c>
      <c r="I231" s="16" t="inlineStr">
        <is>
          <t>—</t>
        </is>
      </c>
      <c r="J231" s="16" t="inlineStr">
        <is>
          <t>Modelo</t>
        </is>
      </c>
      <c r="K231" s="16" t="inlineStr">
        <is>
          <t>propio</t>
        </is>
      </c>
      <c r="L231" s="16" t="inlineStr">
        <is>
          <t>MD-03.banda_horaria_atencion</t>
        </is>
      </c>
      <c r="M231" s="10" t="inlineStr">
        <is>
          <t>Pendiente</t>
        </is>
      </c>
      <c r="N231" s="10" t="n"/>
    </row>
    <row r="232" ht="25" customHeight="1">
      <c r="A232" s="9" t="inlineStr">
        <is>
          <t>M-19</t>
        </is>
      </c>
      <c r="B232" s="9" t="inlineStr">
        <is>
          <t>Calendario y turnos</t>
        </is>
      </c>
      <c r="C232" s="9" t="n">
        <v>8</v>
      </c>
      <c r="D232" s="8" t="inlineStr">
        <is>
          <t>costo_habilitacion_inhabil</t>
        </is>
      </c>
      <c r="E232" s="9" t="inlineStr">
        <is>
          <t>Decimal (12,2)</t>
        </is>
      </c>
      <c r="F232" s="9" t="inlineStr">
        <is>
          <t>No</t>
        </is>
      </c>
      <c r="G232" s="9" t="inlineStr">
        <is>
          <t>≥ 0</t>
        </is>
      </c>
      <c r="H232" s="9" t="inlineStr">
        <is>
          <t>Sí</t>
        </is>
      </c>
      <c r="I232" s="9" t="inlineStr">
        <is>
          <t>—</t>
        </is>
      </c>
      <c r="J232" s="9" t="inlineStr">
        <is>
          <t>Modelo</t>
        </is>
      </c>
      <c r="K232" s="9" t="inlineStr">
        <is>
          <t>propio</t>
        </is>
      </c>
      <c r="L232" s="9" t="inlineStr">
        <is>
          <t>MD-03.costo_habilitacion_inhabil</t>
        </is>
      </c>
      <c r="M232" s="10" t="inlineStr">
        <is>
          <t>Pendiente</t>
        </is>
      </c>
      <c r="N232" s="10" t="n"/>
    </row>
    <row r="233" ht="25" customHeight="1">
      <c r="A233" s="16" t="inlineStr">
        <is>
          <t>M-19</t>
        </is>
      </c>
      <c r="B233" s="16" t="inlineStr">
        <is>
          <t>Calendario y turnos</t>
        </is>
      </c>
      <c r="C233" s="16" t="n">
        <v>9</v>
      </c>
      <c r="D233" s="15" t="inlineStr">
        <is>
          <t>estado</t>
        </is>
      </c>
      <c r="E233" s="16" t="inlineStr">
        <is>
          <t>Enumerado</t>
        </is>
      </c>
      <c r="F233" s="16" t="inlineStr">
        <is>
          <t>Sí</t>
        </is>
      </c>
      <c r="G233" s="16" t="inlineStr">
        <is>
          <t>activo · inactivo</t>
        </is>
      </c>
      <c r="H233" s="16" t="inlineStr">
        <is>
          <t>No</t>
        </is>
      </c>
      <c r="I233" s="16" t="inlineStr">
        <is>
          <t>—</t>
        </is>
      </c>
      <c r="J233" s="16" t="inlineStr">
        <is>
          <t>Modelo</t>
        </is>
      </c>
      <c r="K233" s="16" t="inlineStr">
        <is>
          <t>propio</t>
        </is>
      </c>
      <c r="L233" s="16" t="inlineStr">
        <is>
          <t>MD-03.estado</t>
        </is>
      </c>
      <c r="M233" s="10" t="inlineStr">
        <is>
          <t>Pendiente</t>
        </is>
      </c>
      <c r="N233" s="10" t="n"/>
    </row>
    <row r="234" ht="25" customHeight="1">
      <c r="A234" s="9" t="inlineStr">
        <is>
          <t>M-20</t>
        </is>
      </c>
      <c r="B234" s="9" t="inlineStr">
        <is>
          <t>Tolerancias</t>
        </is>
      </c>
      <c r="C234" s="9" t="n">
        <v>1</v>
      </c>
      <c r="D234" s="8" t="inlineStr">
        <is>
          <t>codigo</t>
        </is>
      </c>
      <c r="E234" s="9" t="inlineStr">
        <is>
          <t>Código (16)</t>
        </is>
      </c>
      <c r="F234" s="9" t="inlineStr">
        <is>
          <t>Sí</t>
        </is>
      </c>
      <c r="G234" s="9" t="inlineStr">
        <is>
          <t>—</t>
        </is>
      </c>
      <c r="H234" s="9" t="inlineStr">
        <is>
          <t>No</t>
        </is>
      </c>
      <c r="I234" s="9" t="inlineStr">
        <is>
          <t>—</t>
        </is>
      </c>
      <c r="J234" s="9" t="inlineStr">
        <is>
          <t>Modelo</t>
        </is>
      </c>
      <c r="K234" s="9" t="inlineStr">
        <is>
          <t>propio</t>
        </is>
      </c>
      <c r="L234" s="9" t="inlineStr">
        <is>
          <t>MD-34.codigo</t>
        </is>
      </c>
      <c r="M234" s="10" t="inlineStr">
        <is>
          <t>Pendiente</t>
        </is>
      </c>
      <c r="N234" s="10" t="n"/>
    </row>
    <row r="235">
      <c r="A235" s="16" t="inlineStr">
        <is>
          <t>M-20</t>
        </is>
      </c>
      <c r="B235" s="16" t="inlineStr">
        <is>
          <t>Tolerancias</t>
        </is>
      </c>
      <c r="C235" s="16" t="n">
        <v>2</v>
      </c>
      <c r="D235" s="15" t="inlineStr">
        <is>
          <t>nombre</t>
        </is>
      </c>
      <c r="E235" s="16" t="inlineStr">
        <is>
          <t>Texto (120)</t>
        </is>
      </c>
      <c r="F235" s="16" t="inlineStr">
        <is>
          <t>Sí</t>
        </is>
      </c>
      <c r="G235" s="16" t="inlineStr">
        <is>
          <t>—</t>
        </is>
      </c>
      <c r="H235" s="16" t="inlineStr">
        <is>
          <t>No</t>
        </is>
      </c>
      <c r="I235" s="16" t="inlineStr">
        <is>
          <t>—</t>
        </is>
      </c>
      <c r="J235" s="16" t="inlineStr">
        <is>
          <t>Modelo</t>
        </is>
      </c>
      <c r="K235" s="16" t="inlineStr">
        <is>
          <t>propio</t>
        </is>
      </c>
      <c r="L235" s="16" t="inlineStr">
        <is>
          <t>MD-34.nombre</t>
        </is>
      </c>
      <c r="M235" s="10" t="inlineStr">
        <is>
          <t>Pendiente</t>
        </is>
      </c>
      <c r="N235" s="10" t="n"/>
    </row>
    <row r="236">
      <c r="A236" s="9" t="inlineStr">
        <is>
          <t>M-20</t>
        </is>
      </c>
      <c r="B236" s="9" t="inlineStr">
        <is>
          <t>Tolerancias</t>
        </is>
      </c>
      <c r="C236" s="9" t="n">
        <v>3</v>
      </c>
      <c r="D236" s="8" t="inlineStr">
        <is>
          <t>parametro</t>
        </is>
      </c>
      <c r="E236" s="9" t="inlineStr">
        <is>
          <t>Texto (80)</t>
        </is>
      </c>
      <c r="F236" s="9" t="inlineStr">
        <is>
          <t>Sí</t>
        </is>
      </c>
      <c r="G236" s="9" t="inlineStr">
        <is>
          <t>—</t>
        </is>
      </c>
      <c r="H236" s="9" t="inlineStr">
        <is>
          <t>No</t>
        </is>
      </c>
      <c r="I236" s="9" t="inlineStr">
        <is>
          <t>—</t>
        </is>
      </c>
      <c r="J236" s="9" t="inlineStr">
        <is>
          <t>Modelo</t>
        </is>
      </c>
      <c r="K236" s="9" t="inlineStr">
        <is>
          <t>propio</t>
        </is>
      </c>
      <c r="L236" s="9" t="inlineStr">
        <is>
          <t>MD-34.parametro_controlado</t>
        </is>
      </c>
      <c r="M236" s="10" t="inlineStr">
        <is>
          <t>Pendiente</t>
        </is>
      </c>
      <c r="N236" s="10" t="n"/>
    </row>
    <row r="237">
      <c r="A237" s="16" t="inlineStr">
        <is>
          <t>M-20</t>
        </is>
      </c>
      <c r="B237" s="16" t="inlineStr">
        <is>
          <t>Tolerancias</t>
        </is>
      </c>
      <c r="C237" s="16" t="n">
        <v>4</v>
      </c>
      <c r="D237" s="15" t="inlineStr">
        <is>
          <t>unidad</t>
        </is>
      </c>
      <c r="E237" s="16" t="inlineStr">
        <is>
          <t>Enumerado</t>
        </is>
      </c>
      <c r="F237" s="16" t="inlineStr">
        <is>
          <t>Sí</t>
        </is>
      </c>
      <c r="G237" s="16" t="inlineStr">
        <is>
          <t>camiones · personas · % · tn · kg · horas · días · manos</t>
        </is>
      </c>
      <c r="H237" s="16" t="inlineStr">
        <is>
          <t>No</t>
        </is>
      </c>
      <c r="I237" s="16" t="inlineStr">
        <is>
          <t>—</t>
        </is>
      </c>
      <c r="J237" s="16" t="inlineStr">
        <is>
          <t>Modelo</t>
        </is>
      </c>
      <c r="K237" s="16" t="inlineStr">
        <is>
          <t>propio</t>
        </is>
      </c>
      <c r="L237" s="16" t="inlineStr">
        <is>
          <t>MD-34.unidad</t>
        </is>
      </c>
      <c r="M237" s="10" t="inlineStr">
        <is>
          <t>Pendiente</t>
        </is>
      </c>
      <c r="N237" s="10" t="n"/>
    </row>
    <row r="238">
      <c r="A238" s="9" t="inlineStr">
        <is>
          <t>M-20</t>
        </is>
      </c>
      <c r="B238" s="9" t="inlineStr">
        <is>
          <t>Tolerancias</t>
        </is>
      </c>
      <c r="C238" s="9" t="n">
        <v>5</v>
      </c>
      <c r="D238" s="8" t="inlineStr">
        <is>
          <t>tolerancia_por_defecto</t>
        </is>
      </c>
      <c r="E238" s="9" t="inlineStr">
        <is>
          <t>Decimal (10,3)</t>
        </is>
      </c>
      <c r="F238" s="9" t="inlineStr">
        <is>
          <t>Sí</t>
        </is>
      </c>
      <c r="G238" s="9" t="inlineStr">
        <is>
          <t>≥ 0</t>
        </is>
      </c>
      <c r="H238" s="9" t="inlineStr">
        <is>
          <t>Sí</t>
        </is>
      </c>
      <c r="I238" s="9" t="inlineStr">
        <is>
          <t>—</t>
        </is>
      </c>
      <c r="J238" s="9" t="inlineStr">
        <is>
          <t>Modelo</t>
        </is>
      </c>
      <c r="K238" s="9" t="inlineStr">
        <is>
          <t>propio</t>
        </is>
      </c>
      <c r="L238" s="9" t="inlineStr">
        <is>
          <t>MD-34.tolerancia_exceso · MD-34.tolerancia_defecto · MD-34.tolerancia_exceso · MD-34.tolerancia_defecto</t>
        </is>
      </c>
      <c r="M238" s="10" t="inlineStr">
        <is>
          <t>Pendiente</t>
        </is>
      </c>
      <c r="N238" s="10" t="n"/>
    </row>
    <row r="239">
      <c r="A239" s="16" t="inlineStr">
        <is>
          <t>M-20</t>
        </is>
      </c>
      <c r="B239" s="16" t="inlineStr">
        <is>
          <t>Tolerancias</t>
        </is>
      </c>
      <c r="C239" s="16" t="n">
        <v>6</v>
      </c>
      <c r="D239" s="15" t="inlineStr">
        <is>
          <t>accion_al_exceder</t>
        </is>
      </c>
      <c r="E239" s="16" t="inlineStr">
        <is>
          <t>Enumerado</t>
        </is>
      </c>
      <c r="F239" s="16" t="inlineStr">
        <is>
          <t>Sí</t>
        </is>
      </c>
      <c r="G239" s="16" t="inlineStr">
        <is>
          <t>bloquear · requerir autorización · alertar y registrar desvío</t>
        </is>
      </c>
      <c r="H239" s="16" t="inlineStr">
        <is>
          <t>No</t>
        </is>
      </c>
      <c r="I239" s="16" t="inlineStr">
        <is>
          <t>—</t>
        </is>
      </c>
      <c r="J239" s="16" t="inlineStr">
        <is>
          <t>Modelo</t>
        </is>
      </c>
      <c r="K239" s="16" t="inlineStr">
        <is>
          <t>propio</t>
        </is>
      </c>
      <c r="L239" s="16" t="inlineStr">
        <is>
          <t>MD-34.accion_al_exceder</t>
        </is>
      </c>
      <c r="M239" s="10" t="inlineStr">
        <is>
          <t>Pendiente</t>
        </is>
      </c>
      <c r="N239" s="10" t="n"/>
    </row>
    <row r="240">
      <c r="A240" s="9" t="inlineStr">
        <is>
          <t>M-20</t>
        </is>
      </c>
      <c r="B240" s="9" t="inlineStr">
        <is>
          <t>Tolerancias</t>
        </is>
      </c>
      <c r="C240" s="9" t="n">
        <v>7</v>
      </c>
      <c r="D240" s="8" t="inlineStr">
        <is>
          <t>autoriza_excepcion</t>
        </is>
      </c>
      <c r="E240" s="9" t="inlineStr">
        <is>
          <t>Texto (60)</t>
        </is>
      </c>
      <c r="F240" s="9" t="inlineStr">
        <is>
          <t>No</t>
        </is>
      </c>
      <c r="G240" s="9" t="inlineStr">
        <is>
          <t>—</t>
        </is>
      </c>
      <c r="H240" s="9" t="inlineStr">
        <is>
          <t>No</t>
        </is>
      </c>
      <c r="I240" s="9" t="inlineStr">
        <is>
          <t>—</t>
        </is>
      </c>
      <c r="J240" s="9" t="inlineStr">
        <is>
          <t>Modelo</t>
        </is>
      </c>
      <c r="K240" s="9" t="inlineStr">
        <is>
          <t>propio</t>
        </is>
      </c>
      <c r="L240" s="9" t="inlineStr">
        <is>
          <t>MD-34.autoriza_excepcion</t>
        </is>
      </c>
      <c r="M240" s="10" t="inlineStr">
        <is>
          <t>Pendiente</t>
        </is>
      </c>
      <c r="N240" s="10" t="n"/>
    </row>
    <row r="241">
      <c r="A241" s="16" t="inlineStr">
        <is>
          <t>M-20</t>
        </is>
      </c>
      <c r="B241" s="16" t="inlineStr">
        <is>
          <t>Tolerancias</t>
        </is>
      </c>
      <c r="C241" s="16" t="n">
        <v>8</v>
      </c>
      <c r="D241" s="15" t="inlineStr">
        <is>
          <t>estado</t>
        </is>
      </c>
      <c r="E241" s="16" t="inlineStr">
        <is>
          <t>Enumerado</t>
        </is>
      </c>
      <c r="F241" s="16" t="inlineStr">
        <is>
          <t>Sí</t>
        </is>
      </c>
      <c r="G241" s="16" t="inlineStr">
        <is>
          <t>vigente · suspendida</t>
        </is>
      </c>
      <c r="H241" s="16" t="inlineStr">
        <is>
          <t>No</t>
        </is>
      </c>
      <c r="I241" s="16" t="inlineStr">
        <is>
          <t>—</t>
        </is>
      </c>
      <c r="J241" s="16" t="inlineStr">
        <is>
          <t>Modelo</t>
        </is>
      </c>
      <c r="K241" s="16" t="inlineStr">
        <is>
          <t>propio</t>
        </is>
      </c>
      <c r="L241" s="16" t="inlineStr">
        <is>
          <t>MD-34.estado</t>
        </is>
      </c>
      <c r="M241" s="10" t="inlineStr">
        <is>
          <t>Pendiente</t>
        </is>
      </c>
      <c r="N241" s="10" t="n"/>
    </row>
    <row r="242">
      <c r="A242" s="9" t="inlineStr">
        <is>
          <t>M-21</t>
        </is>
      </c>
      <c r="B242" s="9" t="inlineStr">
        <is>
          <t>Agencia marítima / Armador</t>
        </is>
      </c>
      <c r="C242" s="9" t="n">
        <v>1</v>
      </c>
      <c r="D242" s="8" t="inlineStr">
        <is>
          <t>codigo</t>
        </is>
      </c>
      <c r="E242" s="9" t="inlineStr">
        <is>
          <t>Código (10)</t>
        </is>
      </c>
      <c r="F242" s="9" t="inlineStr">
        <is>
          <t>Sí</t>
        </is>
      </c>
      <c r="G242" s="9" t="inlineStr">
        <is>
          <t>—</t>
        </is>
      </c>
      <c r="H242" s="9" t="inlineStr">
        <is>
          <t>No</t>
        </is>
      </c>
      <c r="I242" s="9" t="inlineStr">
        <is>
          <t>—</t>
        </is>
      </c>
      <c r="J242" s="9" t="inlineStr">
        <is>
          <t>Modelo</t>
        </is>
      </c>
      <c r="K242" s="9" t="inlineStr">
        <is>
          <t>propio</t>
        </is>
      </c>
      <c r="L242" s="9" t="inlineStr">
        <is>
          <t>MD-06.codigo · MD-36.codigo · MD-37.codigo</t>
        </is>
      </c>
      <c r="M242" s="10" t="inlineStr">
        <is>
          <t>Pendiente</t>
        </is>
      </c>
      <c r="N242" s="10" t="n"/>
    </row>
    <row r="243" ht="25" customHeight="1">
      <c r="A243" s="16" t="inlineStr">
        <is>
          <t>M-21</t>
        </is>
      </c>
      <c r="B243" s="16" t="inlineStr">
        <is>
          <t>Agencia marítima / Armador</t>
        </is>
      </c>
      <c r="C243" s="16" t="n">
        <v>2</v>
      </c>
      <c r="D243" s="15" t="inlineStr">
        <is>
          <t>nombre</t>
        </is>
      </c>
      <c r="E243" s="16" t="inlineStr">
        <is>
          <t>Texto (120)</t>
        </is>
      </c>
      <c r="F243" s="16" t="inlineStr">
        <is>
          <t>Sí</t>
        </is>
      </c>
      <c r="G243" s="16" t="inlineStr">
        <is>
          <t>—</t>
        </is>
      </c>
      <c r="H243" s="16" t="inlineStr">
        <is>
          <t>No</t>
        </is>
      </c>
      <c r="I243" s="16" t="inlineStr">
        <is>
          <t>—</t>
        </is>
      </c>
      <c r="J243" s="16" t="inlineStr">
        <is>
          <t>Modelo</t>
        </is>
      </c>
      <c r="K243" s="16" t="inlineStr">
        <is>
          <t>propio</t>
        </is>
      </c>
      <c r="L243" s="16" t="inlineStr">
        <is>
          <t>MD-06.nombre · MD-36.nombre · MD-37.nombre</t>
        </is>
      </c>
      <c r="M243" s="10" t="inlineStr">
        <is>
          <t>Pendiente</t>
        </is>
      </c>
      <c r="N243" s="10" t="n"/>
    </row>
    <row r="244">
      <c r="A244" s="9" t="inlineStr">
        <is>
          <t>M-21</t>
        </is>
      </c>
      <c r="B244" s="9" t="inlineStr">
        <is>
          <t>Agencia marítima / Armador</t>
        </is>
      </c>
      <c r="C244" s="9" t="n">
        <v>3</v>
      </c>
      <c r="D244" s="8" t="inlineStr">
        <is>
          <t>identificacion_fiscal</t>
        </is>
      </c>
      <c r="E244" s="9" t="inlineStr">
        <is>
          <t>Texto (30)</t>
        </is>
      </c>
      <c r="F244" s="9" t="inlineStr">
        <is>
          <t>Sí</t>
        </is>
      </c>
      <c r="G244" s="9" t="inlineStr">
        <is>
          <t>CUIT o identificación del exterior</t>
        </is>
      </c>
      <c r="H244" s="9" t="inlineStr">
        <is>
          <t>No</t>
        </is>
      </c>
      <c r="I244" s="9" t="inlineStr">
        <is>
          <t>—</t>
        </is>
      </c>
      <c r="J244" s="9" t="inlineStr">
        <is>
          <t>Modelo</t>
        </is>
      </c>
      <c r="K244" s="9" t="inlineStr">
        <is>
          <t>propio</t>
        </is>
      </c>
      <c r="L244" s="9" t="inlineStr">
        <is>
          <t>MD-06.identificacion_fiscal · MD-36.identificacion_fiscal</t>
        </is>
      </c>
      <c r="M244" s="10" t="inlineStr">
        <is>
          <t>Pendiente</t>
        </is>
      </c>
      <c r="N244" s="10" t="n"/>
    </row>
    <row r="245" ht="25" customHeight="1">
      <c r="A245" s="16" t="inlineStr">
        <is>
          <t>M-21</t>
        </is>
      </c>
      <c r="B245" s="16" t="inlineStr">
        <is>
          <t>Agencia marítima / Armador</t>
        </is>
      </c>
      <c r="C245" s="16" t="n">
        <v>4</v>
      </c>
      <c r="D245" s="15" t="inlineStr">
        <is>
          <t>rol</t>
        </is>
      </c>
      <c r="E245" s="16" t="inlineStr">
        <is>
          <t>Enumerado</t>
        </is>
      </c>
      <c r="F245" s="16" t="inlineStr">
        <is>
          <t>Sí</t>
        </is>
      </c>
      <c r="G245" s="16" t="inlineStr">
        <is>
          <t>agencia · armador · ambos</t>
        </is>
      </c>
      <c r="H245" s="16" t="inlineStr">
        <is>
          <t>No</t>
        </is>
      </c>
      <c r="I245" s="16" t="inlineStr">
        <is>
          <t>—</t>
        </is>
      </c>
      <c r="J245" s="16" t="inlineStr">
        <is>
          <t>Modelo</t>
        </is>
      </c>
      <c r="K245" s="16" t="inlineStr">
        <is>
          <t>propio</t>
        </is>
      </c>
      <c r="L245" s="16" t="inlineStr">
        <is>
          <t>MD-06.rol</t>
        </is>
      </c>
      <c r="M245" s="10" t="inlineStr">
        <is>
          <t>Pendiente</t>
        </is>
      </c>
      <c r="N245" s="10" t="n"/>
    </row>
    <row r="246">
      <c r="A246" s="9" t="inlineStr">
        <is>
          <t>M-21</t>
        </is>
      </c>
      <c r="B246" s="9" t="inlineStr">
        <is>
          <t>Agencia marítima / Armador</t>
        </is>
      </c>
      <c r="C246" s="9" t="n">
        <v>5</v>
      </c>
      <c r="D246" s="8" t="inlineStr">
        <is>
          <t>estado</t>
        </is>
      </c>
      <c r="E246" s="9" t="inlineStr">
        <is>
          <t>Enumerado</t>
        </is>
      </c>
      <c r="F246" s="9" t="inlineStr">
        <is>
          <t>Sí</t>
        </is>
      </c>
      <c r="G246" s="9" t="inlineStr">
        <is>
          <t>activa · inactiva</t>
        </is>
      </c>
      <c r="H246" s="9" t="inlineStr">
        <is>
          <t>No</t>
        </is>
      </c>
      <c r="I246" s="9" t="inlineStr">
        <is>
          <t>—</t>
        </is>
      </c>
      <c r="J246" s="9" t="inlineStr">
        <is>
          <t>Modelo</t>
        </is>
      </c>
      <c r="K246" s="9" t="inlineStr">
        <is>
          <t>propio</t>
        </is>
      </c>
      <c r="L246" s="9" t="inlineStr">
        <is>
          <t>MD-06.estado · MD-36.estado · MD-37.estado</t>
        </is>
      </c>
      <c r="M246" s="10" t="inlineStr">
        <is>
          <t>Pendiente</t>
        </is>
      </c>
      <c r="N246" s="10" t="n"/>
    </row>
    <row r="247">
      <c r="A247" s="16" t="inlineStr">
        <is>
          <t>M-22</t>
        </is>
      </c>
      <c r="B247" s="16" t="inlineStr">
        <is>
          <t>Despachante de aduana</t>
        </is>
      </c>
      <c r="C247" s="16" t="n">
        <v>1</v>
      </c>
      <c r="D247" s="15" t="inlineStr">
        <is>
          <t>codigo</t>
        </is>
      </c>
      <c r="E247" s="16" t="inlineStr">
        <is>
          <t>Código (10)</t>
        </is>
      </c>
      <c r="F247" s="16" t="inlineStr">
        <is>
          <t>Sí</t>
        </is>
      </c>
      <c r="G247" s="16" t="inlineStr">
        <is>
          <t>—</t>
        </is>
      </c>
      <c r="H247" s="16" t="inlineStr">
        <is>
          <t>No</t>
        </is>
      </c>
      <c r="I247" s="16" t="inlineStr">
        <is>
          <t>—</t>
        </is>
      </c>
      <c r="J247" s="16" t="inlineStr">
        <is>
          <t>Modelo</t>
        </is>
      </c>
      <c r="K247" s="16" t="inlineStr">
        <is>
          <t>propio</t>
        </is>
      </c>
      <c r="L247" s="16" t="inlineStr">
        <is>
          <t>MD-08.codigo</t>
        </is>
      </c>
      <c r="M247" s="10" t="inlineStr">
        <is>
          <t>Pendiente</t>
        </is>
      </c>
      <c r="N247" s="10" t="n"/>
    </row>
    <row r="248">
      <c r="A248" s="9" t="inlineStr">
        <is>
          <t>M-22</t>
        </is>
      </c>
      <c r="B248" s="9" t="inlineStr">
        <is>
          <t>Despachante de aduana</t>
        </is>
      </c>
      <c r="C248" s="9" t="n">
        <v>2</v>
      </c>
      <c r="D248" s="8" t="inlineStr">
        <is>
          <t>nombre</t>
        </is>
      </c>
      <c r="E248" s="9" t="inlineStr">
        <is>
          <t>Texto (120)</t>
        </is>
      </c>
      <c r="F248" s="9" t="inlineStr">
        <is>
          <t>Sí</t>
        </is>
      </c>
      <c r="G248" s="9" t="inlineStr">
        <is>
          <t>—</t>
        </is>
      </c>
      <c r="H248" s="9" t="inlineStr">
        <is>
          <t>No</t>
        </is>
      </c>
      <c r="I248" s="9" t="inlineStr">
        <is>
          <t>—</t>
        </is>
      </c>
      <c r="J248" s="9" t="inlineStr">
        <is>
          <t>Modelo</t>
        </is>
      </c>
      <c r="K248" s="9" t="inlineStr">
        <is>
          <t>propio</t>
        </is>
      </c>
      <c r="L248" s="9" t="inlineStr">
        <is>
          <t>MD-08.nombre</t>
        </is>
      </c>
      <c r="M248" s="10" t="inlineStr">
        <is>
          <t>Pendiente</t>
        </is>
      </c>
      <c r="N248" s="10" t="n"/>
    </row>
    <row r="249">
      <c r="A249" s="16" t="inlineStr">
        <is>
          <t>M-22</t>
        </is>
      </c>
      <c r="B249" s="16" t="inlineStr">
        <is>
          <t>Despachante de aduana</t>
        </is>
      </c>
      <c r="C249" s="16" t="n">
        <v>3</v>
      </c>
      <c r="D249" s="15" t="inlineStr">
        <is>
          <t>cuit</t>
        </is>
      </c>
      <c r="E249" s="16" t="inlineStr">
        <is>
          <t>Código (11)</t>
        </is>
      </c>
      <c r="F249" s="16" t="inlineStr">
        <is>
          <t>Sí</t>
        </is>
      </c>
      <c r="G249" s="16" t="inlineStr">
        <is>
          <t>—</t>
        </is>
      </c>
      <c r="H249" s="16" t="inlineStr">
        <is>
          <t>No</t>
        </is>
      </c>
      <c r="I249" s="16" t="inlineStr">
        <is>
          <t>—</t>
        </is>
      </c>
      <c r="J249" s="16" t="inlineStr">
        <is>
          <t>Modelo</t>
        </is>
      </c>
      <c r="K249" s="16" t="inlineStr">
        <is>
          <t>propio</t>
        </is>
      </c>
      <c r="L249" s="16" t="inlineStr">
        <is>
          <t>MD-08.cuit</t>
        </is>
      </c>
      <c r="M249" s="10" t="inlineStr">
        <is>
          <t>Pendiente</t>
        </is>
      </c>
      <c r="N249" s="10" t="n"/>
    </row>
    <row r="250">
      <c r="A250" s="9" t="inlineStr">
        <is>
          <t>M-22</t>
        </is>
      </c>
      <c r="B250" s="9" t="inlineStr">
        <is>
          <t>Despachante de aduana</t>
        </is>
      </c>
      <c r="C250" s="9" t="n">
        <v>4</v>
      </c>
      <c r="D250" s="8" t="inlineStr">
        <is>
          <t>matricula</t>
        </is>
      </c>
      <c r="E250" s="9" t="inlineStr">
        <is>
          <t>Código (20)</t>
        </is>
      </c>
      <c r="F250" s="9" t="inlineStr">
        <is>
          <t>Sí</t>
        </is>
      </c>
      <c r="G250" s="9" t="inlineStr">
        <is>
          <t>—</t>
        </is>
      </c>
      <c r="H250" s="9" t="inlineStr">
        <is>
          <t>No</t>
        </is>
      </c>
      <c r="I250" s="9" t="inlineStr">
        <is>
          <t>—</t>
        </is>
      </c>
      <c r="J250" s="9" t="inlineStr">
        <is>
          <t>Modelo</t>
        </is>
      </c>
      <c r="K250" s="9" t="inlineStr">
        <is>
          <t>propio</t>
        </is>
      </c>
      <c r="L250" s="9" t="inlineStr">
        <is>
          <t>MD-08.matricula</t>
        </is>
      </c>
      <c r="M250" s="10" t="inlineStr">
        <is>
          <t>Pendiente</t>
        </is>
      </c>
      <c r="N250" s="10" t="n"/>
    </row>
    <row r="251">
      <c r="A251" s="16" t="inlineStr">
        <is>
          <t>M-22</t>
        </is>
      </c>
      <c r="B251" s="16" t="inlineStr">
        <is>
          <t>Despachante de aduana</t>
        </is>
      </c>
      <c r="C251" s="16" t="n">
        <v>5</v>
      </c>
      <c r="D251" s="15" t="inlineStr">
        <is>
          <t>matricula_vencimiento</t>
        </is>
      </c>
      <c r="E251" s="16" t="inlineStr">
        <is>
          <t>Fecha</t>
        </is>
      </c>
      <c r="F251" s="16" t="inlineStr">
        <is>
          <t>Sí</t>
        </is>
      </c>
      <c r="G251" s="16" t="inlineStr">
        <is>
          <t>futuro</t>
        </is>
      </c>
      <c r="H251" s="16" t="inlineStr">
        <is>
          <t>No</t>
        </is>
      </c>
      <c r="I251" s="16" t="inlineStr">
        <is>
          <t>—</t>
        </is>
      </c>
      <c r="J251" s="16" t="inlineStr">
        <is>
          <t>Modelo</t>
        </is>
      </c>
      <c r="K251" s="16" t="inlineStr">
        <is>
          <t>propio</t>
        </is>
      </c>
      <c r="L251" s="16" t="inlineStr">
        <is>
          <t>MD-08.matricula_vencimiento</t>
        </is>
      </c>
      <c r="M251" s="10" t="inlineStr">
        <is>
          <t>Pendiente</t>
        </is>
      </c>
      <c r="N251" s="10" t="n"/>
    </row>
    <row r="252">
      <c r="A252" s="9" t="inlineStr">
        <is>
          <t>M-22</t>
        </is>
      </c>
      <c r="B252" s="9" t="inlineStr">
        <is>
          <t>Despachante de aduana</t>
        </is>
      </c>
      <c r="C252" s="9" t="n">
        <v>6</v>
      </c>
      <c r="D252" s="8" t="inlineStr">
        <is>
          <t>estado</t>
        </is>
      </c>
      <c r="E252" s="9" t="inlineStr">
        <is>
          <t>Enumerado</t>
        </is>
      </c>
      <c r="F252" s="9" t="inlineStr">
        <is>
          <t>Sí</t>
        </is>
      </c>
      <c r="G252" s="9" t="inlineStr">
        <is>
          <t>activo · inactivo</t>
        </is>
      </c>
      <c r="H252" s="9" t="inlineStr">
        <is>
          <t>No</t>
        </is>
      </c>
      <c r="I252" s="9" t="inlineStr">
        <is>
          <t>—</t>
        </is>
      </c>
      <c r="J252" s="9" t="inlineStr">
        <is>
          <t>Modelo</t>
        </is>
      </c>
      <c r="K252" s="9" t="inlineStr">
        <is>
          <t>propio</t>
        </is>
      </c>
      <c r="L252" s="9" t="inlineStr">
        <is>
          <t>MD-08.estado</t>
        </is>
      </c>
      <c r="M252" s="10" t="inlineStr">
        <is>
          <t>Pendiente</t>
        </is>
      </c>
      <c r="N252" s="10" t="n"/>
    </row>
    <row r="253">
      <c r="A253" s="16" t="inlineStr">
        <is>
          <t>M-23</t>
        </is>
      </c>
      <c r="B253" s="16" t="inlineStr">
        <is>
          <t>Matriz de calidad</t>
        </is>
      </c>
      <c r="C253" s="16" t="n">
        <v>1</v>
      </c>
      <c r="D253" s="15" t="inlineStr">
        <is>
          <t>codigo</t>
        </is>
      </c>
      <c r="E253" s="16" t="inlineStr">
        <is>
          <t>Código (12)</t>
        </is>
      </c>
      <c r="F253" s="16" t="inlineStr">
        <is>
          <t>Sí</t>
        </is>
      </c>
      <c r="G253" s="16" t="inlineStr">
        <is>
          <t>—</t>
        </is>
      </c>
      <c r="H253" s="16" t="inlineStr">
        <is>
          <t>No</t>
        </is>
      </c>
      <c r="I253" s="16" t="inlineStr">
        <is>
          <t>—</t>
        </is>
      </c>
      <c r="J253" s="16" t="inlineStr">
        <is>
          <t>Modelo</t>
        </is>
      </c>
      <c r="K253" s="16" t="inlineStr">
        <is>
          <t>propio</t>
        </is>
      </c>
      <c r="L253" s="16" t="inlineStr">
        <is>
          <t>MD-35.codigo</t>
        </is>
      </c>
      <c r="M253" s="10" t="inlineStr">
        <is>
          <t>Pendiente</t>
        </is>
      </c>
      <c r="N253" s="10" t="n"/>
    </row>
    <row r="254">
      <c r="A254" s="9" t="inlineStr">
        <is>
          <t>M-23</t>
        </is>
      </c>
      <c r="B254" s="9" t="inlineStr">
        <is>
          <t>Matriz de calidad</t>
        </is>
      </c>
      <c r="C254" s="9" t="n">
        <v>2</v>
      </c>
      <c r="D254" s="8" t="inlineStr">
        <is>
          <t>producto</t>
        </is>
      </c>
      <c r="E254" s="9" t="inlineStr">
        <is>
          <t>Ref. M-07</t>
        </is>
      </c>
      <c r="F254" s="9" t="inlineStr">
        <is>
          <t>Sí</t>
        </is>
      </c>
      <c r="G254" s="9" t="inlineStr">
        <is>
          <t>—</t>
        </is>
      </c>
      <c r="H254" s="9" t="inlineStr">
        <is>
          <t>No</t>
        </is>
      </c>
      <c r="I254" s="9" t="inlineStr">
        <is>
          <t>—</t>
        </is>
      </c>
      <c r="J254" s="9" t="inlineStr">
        <is>
          <t>Modelo</t>
        </is>
      </c>
      <c r="K254" s="9" t="inlineStr">
        <is>
          <t>propio</t>
        </is>
      </c>
      <c r="L254" s="9" t="inlineStr">
        <is>
          <t>MD-35.producto</t>
        </is>
      </c>
      <c r="M254" s="10" t="inlineStr">
        <is>
          <t>Pendiente</t>
        </is>
      </c>
      <c r="N254" s="10" t="n"/>
    </row>
    <row r="255" ht="37.5" customHeight="1">
      <c r="A255" s="16" t="inlineStr">
        <is>
          <t>M-23</t>
        </is>
      </c>
      <c r="B255" s="16" t="inlineStr">
        <is>
          <t>Matriz de calidad</t>
        </is>
      </c>
      <c r="C255" s="16" t="n">
        <v>3</v>
      </c>
      <c r="D255" s="15" t="inlineStr">
        <is>
          <t>parametro</t>
        </is>
      </c>
      <c r="E255" s="16" t="inlineStr">
        <is>
          <t>Enumerado</t>
        </is>
      </c>
      <c r="F255" s="16" t="inlineStr">
        <is>
          <t>Sí</t>
        </is>
      </c>
      <c r="G255" s="16" t="inlineStr">
        <is>
          <t>humedad · granulometría · pureza/riqueza · temperatura · color · cuerpos extraños · otros</t>
        </is>
      </c>
      <c r="H255" s="16" t="inlineStr">
        <is>
          <t>No</t>
        </is>
      </c>
      <c r="I255" s="16" t="inlineStr">
        <is>
          <t>—</t>
        </is>
      </c>
      <c r="J255" s="16" t="inlineStr">
        <is>
          <t>Modelo</t>
        </is>
      </c>
      <c r="K255" s="16" t="inlineStr">
        <is>
          <t>propio</t>
        </is>
      </c>
      <c r="L255" s="16" t="inlineStr">
        <is>
          <t>MD-35.parametro</t>
        </is>
      </c>
      <c r="M255" s="10" t="inlineStr">
        <is>
          <t>Pendiente</t>
        </is>
      </c>
      <c r="N255" s="10" t="n"/>
    </row>
    <row r="256">
      <c r="A256" s="12" t="inlineStr">
        <is>
          <t>M-23</t>
        </is>
      </c>
      <c r="B256" s="12" t="inlineStr">
        <is>
          <t>Matriz de calidad</t>
        </is>
      </c>
      <c r="C256" s="12" t="n">
        <v>4</v>
      </c>
      <c r="D256" s="11" t="inlineStr">
        <is>
          <t>calidad</t>
        </is>
      </c>
      <c r="E256" s="12" t="inlineStr">
        <is>
          <t>Texto (60)</t>
        </is>
      </c>
      <c r="F256" s="12" t="inlineStr">
        <is>
          <t>Sí</t>
        </is>
      </c>
      <c r="G256" s="12" t="inlineStr">
        <is>
          <t>ej. estándar · premium · fuera de especificación</t>
        </is>
      </c>
      <c r="H256" s="12" t="inlineStr">
        <is>
          <t>No</t>
        </is>
      </c>
      <c r="I256" s="12" t="inlineStr">
        <is>
          <t>—</t>
        </is>
      </c>
      <c r="J256" s="12" t="inlineStr">
        <is>
          <t>Modelo</t>
        </is>
      </c>
      <c r="K256" s="12" t="inlineStr">
        <is>
          <t>propio</t>
        </is>
      </c>
      <c r="L256" s="12" t="inlineStr">
        <is>
          <t>— (nuevo)</t>
        </is>
      </c>
      <c r="M256" s="10" t="inlineStr">
        <is>
          <t>Pendiente</t>
        </is>
      </c>
      <c r="N256" s="10" t="n"/>
    </row>
    <row r="257">
      <c r="A257" s="16" t="inlineStr">
        <is>
          <t>M-23</t>
        </is>
      </c>
      <c r="B257" s="16" t="inlineStr">
        <is>
          <t>Matriz de calidad</t>
        </is>
      </c>
      <c r="C257" s="16" t="n">
        <v>5</v>
      </c>
      <c r="D257" s="15" t="inlineStr">
        <is>
          <t>rangos</t>
        </is>
      </c>
      <c r="E257" s="16" t="inlineStr">
        <is>
          <t>Texto (120)</t>
        </is>
      </c>
      <c r="F257" s="16" t="inlineStr">
        <is>
          <t>Sí</t>
        </is>
      </c>
      <c r="G257" s="16" t="inlineStr">
        <is>
          <t>valores o rangos admitidos</t>
        </is>
      </c>
      <c r="H257" s="16" t="inlineStr">
        <is>
          <t>No</t>
        </is>
      </c>
      <c r="I257" s="16" t="inlineStr">
        <is>
          <t>—</t>
        </is>
      </c>
      <c r="J257" s="16" t="inlineStr">
        <is>
          <t>Modelo</t>
        </is>
      </c>
      <c r="K257" s="16" t="inlineStr">
        <is>
          <t>propio</t>
        </is>
      </c>
      <c r="L257" s="16" t="inlineStr">
        <is>
          <t>MD-35.valor_nominal · MD-35.tolerancia_min_max</t>
        </is>
      </c>
      <c r="M257" s="10" t="inlineStr">
        <is>
          <t>Pendiente</t>
        </is>
      </c>
      <c r="N257" s="10" t="n"/>
    </row>
    <row r="258">
      <c r="A258" s="9" t="inlineStr">
        <is>
          <t>M-24</t>
        </is>
      </c>
      <c r="B258" s="9" t="inlineStr">
        <is>
          <t>Matriz de compatibilidad</t>
        </is>
      </c>
      <c r="C258" s="9" t="n">
        <v>1</v>
      </c>
      <c r="D258" s="8" t="inlineStr">
        <is>
          <t>producto_a</t>
        </is>
      </c>
      <c r="E258" s="9" t="inlineStr">
        <is>
          <t>Ref. M-07</t>
        </is>
      </c>
      <c r="F258" s="9" t="inlineStr">
        <is>
          <t>Sí</t>
        </is>
      </c>
      <c r="G258" s="9" t="inlineStr">
        <is>
          <t>—</t>
        </is>
      </c>
      <c r="H258" s="9" t="inlineStr">
        <is>
          <t>No</t>
        </is>
      </c>
      <c r="I258" s="9" t="inlineStr">
        <is>
          <t>—</t>
        </is>
      </c>
      <c r="J258" s="9" t="inlineStr">
        <is>
          <t>Modelo</t>
        </is>
      </c>
      <c r="K258" s="9" t="inlineStr">
        <is>
          <t>propio</t>
        </is>
      </c>
      <c r="L258" s="9" t="inlineStr">
        <is>
          <t>MD-15.producto_a</t>
        </is>
      </c>
      <c r="M258" s="10" t="inlineStr">
        <is>
          <t>Pendiente</t>
        </is>
      </c>
      <c r="N258" s="10" t="n"/>
    </row>
    <row r="259">
      <c r="A259" s="16" t="inlineStr">
        <is>
          <t>M-24</t>
        </is>
      </c>
      <c r="B259" s="16" t="inlineStr">
        <is>
          <t>Matriz de compatibilidad</t>
        </is>
      </c>
      <c r="C259" s="16" t="n">
        <v>2</v>
      </c>
      <c r="D259" s="15" t="inlineStr">
        <is>
          <t>producto_b</t>
        </is>
      </c>
      <c r="E259" s="16" t="inlineStr">
        <is>
          <t>Ref. M-07</t>
        </is>
      </c>
      <c r="F259" s="16" t="inlineStr">
        <is>
          <t>Sí</t>
        </is>
      </c>
      <c r="G259" s="16" t="inlineStr">
        <is>
          <t>—</t>
        </is>
      </c>
      <c r="H259" s="16" t="inlineStr">
        <is>
          <t>No</t>
        </is>
      </c>
      <c r="I259" s="16" t="inlineStr">
        <is>
          <t>—</t>
        </is>
      </c>
      <c r="J259" s="16" t="inlineStr">
        <is>
          <t>Modelo</t>
        </is>
      </c>
      <c r="K259" s="16" t="inlineStr">
        <is>
          <t>propio</t>
        </is>
      </c>
      <c r="L259" s="16" t="inlineStr">
        <is>
          <t>MD-15.producto_b</t>
        </is>
      </c>
      <c r="M259" s="10" t="inlineStr">
        <is>
          <t>Pendiente</t>
        </is>
      </c>
      <c r="N259" s="10" t="n"/>
    </row>
    <row r="260">
      <c r="A260" s="9" t="inlineStr">
        <is>
          <t>M-24</t>
        </is>
      </c>
      <c r="B260" s="9" t="inlineStr">
        <is>
          <t>Matriz de compatibilidad</t>
        </is>
      </c>
      <c r="C260" s="9" t="n">
        <v>3</v>
      </c>
      <c r="D260" s="8" t="inlineStr">
        <is>
          <t>compatible</t>
        </is>
      </c>
      <c r="E260" s="9" t="inlineStr">
        <is>
          <t>Lógico</t>
        </is>
      </c>
      <c r="F260" s="9" t="inlineStr">
        <is>
          <t>Sí</t>
        </is>
      </c>
      <c r="G260" s="9" t="inlineStr">
        <is>
          <t>V / F</t>
        </is>
      </c>
      <c r="H260" s="9" t="inlineStr">
        <is>
          <t>No</t>
        </is>
      </c>
      <c r="I260" s="9" t="inlineStr">
        <is>
          <t>—</t>
        </is>
      </c>
      <c r="J260" s="9" t="inlineStr">
        <is>
          <t>Modelo</t>
        </is>
      </c>
      <c r="K260" s="9" t="inlineStr">
        <is>
          <t>propio</t>
        </is>
      </c>
      <c r="L260" s="9" t="inlineStr">
        <is>
          <t>MD-15.compatible</t>
        </is>
      </c>
      <c r="M260" s="10" t="inlineStr">
        <is>
          <t>Pendiente</t>
        </is>
      </c>
      <c r="N260" s="10" t="n"/>
    </row>
    <row r="261">
      <c r="A261" s="16" t="inlineStr">
        <is>
          <t>M-24</t>
        </is>
      </c>
      <c r="B261" s="16" t="inlineStr">
        <is>
          <t>Matriz de compatibilidad</t>
        </is>
      </c>
      <c r="C261" s="16" t="n">
        <v>4</v>
      </c>
      <c r="D261" s="15" t="inlineStr">
        <is>
          <t>condiciones</t>
        </is>
      </c>
      <c r="E261" s="16" t="inlineStr">
        <is>
          <t>Texto (200)</t>
        </is>
      </c>
      <c r="F261" s="16" t="inlineStr">
        <is>
          <t>No</t>
        </is>
      </c>
      <c r="G261" s="16" t="inlineStr">
        <is>
          <t>—</t>
        </is>
      </c>
      <c r="H261" s="16" t="inlineStr">
        <is>
          <t>No</t>
        </is>
      </c>
      <c r="I261" s="16" t="inlineStr">
        <is>
          <t>—</t>
        </is>
      </c>
      <c r="J261" s="16" t="inlineStr">
        <is>
          <t>Modelo</t>
        </is>
      </c>
      <c r="K261" s="16" t="inlineStr">
        <is>
          <t>propio</t>
        </is>
      </c>
      <c r="L261" s="16" t="inlineStr">
        <is>
          <t>MD-15.condicion</t>
        </is>
      </c>
      <c r="M261" s="10" t="inlineStr">
        <is>
          <t>Pendiente</t>
        </is>
      </c>
      <c r="N261" s="10" t="n"/>
    </row>
    <row r="262">
      <c r="A262" s="9" t="inlineStr">
        <is>
          <t>M-25</t>
        </is>
      </c>
      <c r="B262" s="9" t="inlineStr">
        <is>
          <t>Muelles</t>
        </is>
      </c>
      <c r="C262" s="9" t="n">
        <v>1</v>
      </c>
      <c r="D262" s="8" t="inlineStr">
        <is>
          <t>codigo</t>
        </is>
      </c>
      <c r="E262" s="9" t="inlineStr">
        <is>
          <t>Código (10)</t>
        </is>
      </c>
      <c r="F262" s="9" t="inlineStr">
        <is>
          <t>Sí</t>
        </is>
      </c>
      <c r="G262" s="9" t="inlineStr">
        <is>
          <t>—</t>
        </is>
      </c>
      <c r="H262" s="9" t="inlineStr">
        <is>
          <t>No</t>
        </is>
      </c>
      <c r="I262" s="9" t="inlineStr">
        <is>
          <t>—</t>
        </is>
      </c>
      <c r="J262" s="9" t="inlineStr">
        <is>
          <t>Modelo</t>
        </is>
      </c>
      <c r="K262" s="9" t="inlineStr">
        <is>
          <t>propio</t>
        </is>
      </c>
      <c r="L262" s="9" t="inlineStr">
        <is>
          <t>MD-17.codigo</t>
        </is>
      </c>
      <c r="M262" s="10" t="inlineStr">
        <is>
          <t>Pendiente</t>
        </is>
      </c>
      <c r="N262" s="10" t="n"/>
    </row>
    <row r="263">
      <c r="A263" s="12" t="inlineStr">
        <is>
          <t>M-25</t>
        </is>
      </c>
      <c r="B263" s="12" t="inlineStr">
        <is>
          <t>Muelles</t>
        </is>
      </c>
      <c r="C263" s="12" t="n">
        <v>2</v>
      </c>
      <c r="D263" s="11" t="inlineStr">
        <is>
          <t>nombre</t>
        </is>
      </c>
      <c r="E263" s="12" t="inlineStr">
        <is>
          <t>Texto (80)</t>
        </is>
      </c>
      <c r="F263" s="12" t="inlineStr">
        <is>
          <t>Sí</t>
        </is>
      </c>
      <c r="G263" s="12" t="inlineStr">
        <is>
          <t>—</t>
        </is>
      </c>
      <c r="H263" s="12" t="inlineStr">
        <is>
          <t>No</t>
        </is>
      </c>
      <c r="I263" s="12" t="inlineStr">
        <is>
          <t>—</t>
        </is>
      </c>
      <c r="J263" s="12" t="inlineStr">
        <is>
          <t>Modelo</t>
        </is>
      </c>
      <c r="K263" s="12" t="inlineStr">
        <is>
          <t>propio</t>
        </is>
      </c>
      <c r="L263" s="12" t="inlineStr">
        <is>
          <t>— (nuevo)</t>
        </is>
      </c>
      <c r="M263" s="10" t="inlineStr">
        <is>
          <t>Pendiente</t>
        </is>
      </c>
      <c r="N263" s="10" t="n"/>
    </row>
    <row r="264">
      <c r="A264" s="9" t="inlineStr">
        <is>
          <t>M-25</t>
        </is>
      </c>
      <c r="B264" s="9" t="inlineStr">
        <is>
          <t>Muelles</t>
        </is>
      </c>
      <c r="C264" s="9" t="n">
        <v>3</v>
      </c>
      <c r="D264" s="8" t="inlineStr">
        <is>
          <t>tipo</t>
        </is>
      </c>
      <c r="E264" s="9" t="inlineStr">
        <is>
          <t>Enumerado</t>
        </is>
      </c>
      <c r="F264" s="9" t="inlineStr">
        <is>
          <t>Sí</t>
        </is>
      </c>
      <c r="G264" s="9" t="inlineStr">
        <is>
          <t>muelle · grúa de muelle · punto de conexión · cinta</t>
        </is>
      </c>
      <c r="H264" s="9" t="inlineStr">
        <is>
          <t>No</t>
        </is>
      </c>
      <c r="I264" s="9" t="inlineStr">
        <is>
          <t>—</t>
        </is>
      </c>
      <c r="J264" s="9" t="inlineStr">
        <is>
          <t>Modelo</t>
        </is>
      </c>
      <c r="K264" s="9" t="inlineStr">
        <is>
          <t>propio</t>
        </is>
      </c>
      <c r="L264" s="9" t="inlineStr">
        <is>
          <t>MD-17.tipo</t>
        </is>
      </c>
      <c r="M264" s="10" t="inlineStr">
        <is>
          <t>Pendiente</t>
        </is>
      </c>
      <c r="N264" s="10" t="n"/>
    </row>
    <row r="265">
      <c r="A265" s="16" t="inlineStr">
        <is>
          <t>M-25</t>
        </is>
      </c>
      <c r="B265" s="16" t="inlineStr">
        <is>
          <t>Muelles</t>
        </is>
      </c>
      <c r="C265" s="16" t="n">
        <v>4</v>
      </c>
      <c r="D265" s="15" t="inlineStr">
        <is>
          <t>planta</t>
        </is>
      </c>
      <c r="E265" s="16" t="inlineStr">
        <is>
          <t>Ref. M-09</t>
        </is>
      </c>
      <c r="F265" s="16" t="inlineStr">
        <is>
          <t>Sí</t>
        </is>
      </c>
      <c r="G265" s="16" t="inlineStr">
        <is>
          <t>—</t>
        </is>
      </c>
      <c r="H265" s="16" t="inlineStr">
        <is>
          <t>No</t>
        </is>
      </c>
      <c r="I265" s="16" t="inlineStr">
        <is>
          <t>—</t>
        </is>
      </c>
      <c r="J265" s="16" t="inlineStr">
        <is>
          <t>Modelo</t>
        </is>
      </c>
      <c r="K265" s="16" t="inlineStr">
        <is>
          <t>propio</t>
        </is>
      </c>
      <c r="L265" s="16" t="inlineStr">
        <is>
          <t>MD-17.planta</t>
        </is>
      </c>
      <c r="M265" s="10" t="inlineStr">
        <is>
          <t>Pendiente</t>
        </is>
      </c>
      <c r="N265" s="10" t="n"/>
    </row>
    <row r="266" ht="37.5" customHeight="1">
      <c r="A266" s="9" t="inlineStr">
        <is>
          <t>M-25</t>
        </is>
      </c>
      <c r="B266" s="9" t="inlineStr">
        <is>
          <t>Muelles</t>
        </is>
      </c>
      <c r="C266" s="9" t="n">
        <v>5</v>
      </c>
      <c r="D266" s="8" t="inlineStr">
        <is>
          <t>calado_admisible_m</t>
        </is>
      </c>
      <c r="E266" s="9" t="inlineStr">
        <is>
          <t>Decimal (5,2)</t>
        </is>
      </c>
      <c r="F266" s="9" t="inlineStr">
        <is>
          <t>Condicional</t>
        </is>
      </c>
      <c r="G266" s="9" t="inlineStr">
        <is>
          <t>&gt; 0 · solo muelle</t>
        </is>
      </c>
      <c r="H266" s="9" t="inlineStr">
        <is>
          <t>No</t>
        </is>
      </c>
      <c r="I266" s="9" t="inlineStr">
        <is>
          <t>—</t>
        </is>
      </c>
      <c r="J266" s="9" t="inlineStr">
        <is>
          <t>Modelo</t>
        </is>
      </c>
      <c r="K266" s="9" t="inlineStr">
        <is>
          <t>propio</t>
        </is>
      </c>
      <c r="L266" s="9" t="inlineStr">
        <is>
          <t>MD-17.calado_admisible_m</t>
        </is>
      </c>
      <c r="M266" s="10" t="inlineStr">
        <is>
          <t>Pendiente</t>
        </is>
      </c>
      <c r="N266" s="10" t="n"/>
    </row>
    <row r="267">
      <c r="A267" s="16" t="inlineStr">
        <is>
          <t>M-25</t>
        </is>
      </c>
      <c r="B267" s="16" t="inlineStr">
        <is>
          <t>Muelles</t>
        </is>
      </c>
      <c r="C267" s="16" t="n">
        <v>6</v>
      </c>
      <c r="D267" s="15" t="inlineStr">
        <is>
          <t>frente_de_amarre_maxima_m</t>
        </is>
      </c>
      <c r="E267" s="16" t="inlineStr">
        <is>
          <t>Decimal (6,2)</t>
        </is>
      </c>
      <c r="F267" s="16" t="inlineStr">
        <is>
          <t>Condicional</t>
        </is>
      </c>
      <c r="G267" s="16" t="inlineStr">
        <is>
          <t>&gt; 0 · solo muelle</t>
        </is>
      </c>
      <c r="H267" s="16" t="inlineStr">
        <is>
          <t>No</t>
        </is>
      </c>
      <c r="I267" s="16" t="inlineStr">
        <is>
          <t>—</t>
        </is>
      </c>
      <c r="J267" s="16" t="inlineStr">
        <is>
          <t>Modelo</t>
        </is>
      </c>
      <c r="K267" s="16" t="inlineStr">
        <is>
          <t>propio</t>
        </is>
      </c>
      <c r="L267" s="16" t="inlineStr">
        <is>
          <t>MD-17.frente_de_amarre_maxima_m</t>
        </is>
      </c>
      <c r="M267" s="10" t="inlineStr">
        <is>
          <t>Pendiente</t>
        </is>
      </c>
      <c r="N267" s="10" t="n"/>
    </row>
    <row r="268">
      <c r="A268" s="9" t="inlineStr">
        <is>
          <t>M-25</t>
        </is>
      </c>
      <c r="B268" s="9" t="inlineStr">
        <is>
          <t>Muelles</t>
        </is>
      </c>
      <c r="C268" s="9" t="n">
        <v>7</v>
      </c>
      <c r="D268" s="8" t="inlineStr">
        <is>
          <t>capacidad_tn_h</t>
        </is>
      </c>
      <c r="E268" s="9" t="inlineStr">
        <is>
          <t>Decimal (8,2)</t>
        </is>
      </c>
      <c r="F268" s="9" t="inlineStr">
        <is>
          <t>Condicional</t>
        </is>
      </c>
      <c r="G268" s="9" t="inlineStr">
        <is>
          <t>&gt; 0 · grúa / cinta / conexión</t>
        </is>
      </c>
      <c r="H268" s="9" t="inlineStr">
        <is>
          <t>No</t>
        </is>
      </c>
      <c r="I268" s="9" t="inlineStr">
        <is>
          <t>—</t>
        </is>
      </c>
      <c r="J268" s="9" t="inlineStr">
        <is>
          <t>Modelo</t>
        </is>
      </c>
      <c r="K268" s="9" t="inlineStr">
        <is>
          <t>propio</t>
        </is>
      </c>
      <c r="L268" s="9" t="inlineStr">
        <is>
          <t>MD-17.capacidad_tn_h</t>
        </is>
      </c>
      <c r="M268" s="10" t="inlineStr">
        <is>
          <t>Pendiente</t>
        </is>
      </c>
      <c r="N268" s="10" t="n"/>
    </row>
    <row r="269" ht="25" customHeight="1">
      <c r="A269" s="16" t="inlineStr">
        <is>
          <t>M-25</t>
        </is>
      </c>
      <c r="B269" s="16" t="inlineStr">
        <is>
          <t>Muelles</t>
        </is>
      </c>
      <c r="C269" s="16" t="n">
        <v>9</v>
      </c>
      <c r="D269" s="15" t="inlineStr">
        <is>
          <t>estado</t>
        </is>
      </c>
      <c r="E269" s="16" t="inlineStr">
        <is>
          <t>Enumerado</t>
        </is>
      </c>
      <c r="F269" s="16" t="inlineStr">
        <is>
          <t>Sí</t>
        </is>
      </c>
      <c r="G269" s="16" t="inlineStr">
        <is>
          <t>operativo · fuera de tipo_servicio</t>
        </is>
      </c>
      <c r="H269" s="16" t="inlineStr">
        <is>
          <t>No</t>
        </is>
      </c>
      <c r="I269" s="16" t="inlineStr">
        <is>
          <t>—</t>
        </is>
      </c>
      <c r="J269" s="16" t="inlineStr">
        <is>
          <t>Modelo</t>
        </is>
      </c>
      <c r="K269" s="16" t="inlineStr">
        <is>
          <t>propio</t>
        </is>
      </c>
      <c r="L269" s="16" t="inlineStr">
        <is>
          <t>MD-17.estado</t>
        </is>
      </c>
      <c r="M269" s="10" t="inlineStr">
        <is>
          <t>Pendiente</t>
        </is>
      </c>
      <c r="N269" s="10" t="n"/>
    </row>
    <row r="270">
      <c r="A270" s="17" t="inlineStr">
        <is>
          <t>M-25</t>
        </is>
      </c>
      <c r="B270" s="17" t="inlineStr">
        <is>
          <t>Muelles</t>
        </is>
      </c>
      <c r="C270" s="17" t="n">
        <v>10</v>
      </c>
      <c r="D270" s="18" t="inlineStr">
        <is>
          <t>productos_admitidos ★</t>
        </is>
      </c>
      <c r="E270" s="17" t="inlineStr">
        <is>
          <t>Ref. M-07 (múltiple)</t>
        </is>
      </c>
      <c r="F270" s="17" t="inlineStr">
        <is>
          <t>No</t>
        </is>
      </c>
      <c r="G270" s="17" t="inlineStr">
        <is>
          <t>vacío = todos</t>
        </is>
      </c>
      <c r="H270" s="17" t="inlineStr">
        <is>
          <t>No</t>
        </is>
      </c>
      <c r="I270" s="17" t="inlineStr">
        <is>
          <t>Qué productos admite el sitio (líquidos por punto de conexión)</t>
        </is>
      </c>
      <c r="J270" s="17" t="inlineStr">
        <is>
          <t>★ Simulador</t>
        </is>
      </c>
      <c r="K270" s="17" t="inlineStr">
        <is>
          <t>propio</t>
        </is>
      </c>
      <c r="L270" s="17" t="inlineStr">
        <is>
          <t>MD-17.productos_admitidos</t>
        </is>
      </c>
      <c r="M270" s="10" t="inlineStr">
        <is>
          <t>Pendiente</t>
        </is>
      </c>
      <c r="N270" s="10" t="n"/>
    </row>
    <row r="271">
      <c r="A271" s="12" t="inlineStr">
        <is>
          <t>M-25</t>
        </is>
      </c>
      <c r="B271" s="12" t="inlineStr">
        <is>
          <t>Muelles</t>
        </is>
      </c>
      <c r="C271" s="12" t="n">
        <v>8</v>
      </c>
      <c r="D271" s="11" t="inlineStr">
        <is>
          <t>metodo_seguro</t>
        </is>
      </c>
      <c r="E271" s="12" t="inlineStr">
        <is>
          <t>Ref. M-34 (múltiple)</t>
        </is>
      </c>
      <c r="F271" s="12" t="inlineStr">
        <is>
          <t>Sí</t>
        </is>
      </c>
      <c r="G271" s="12" t="inlineStr">
        <is>
          <t>uno o más MS vigentes</t>
        </is>
      </c>
      <c r="H271" s="12" t="inlineStr">
        <is>
          <t>No</t>
        </is>
      </c>
      <c r="I271" s="12" t="inlineStr">
        <is>
          <t>Método seguro del muelle / punto de conexión (amarre, conexión de mangueras). Vencido → sin disponibilidad</t>
        </is>
      </c>
      <c r="J271" s="12" t="inlineStr">
        <is>
          <t>Revisión 15/09/2026</t>
        </is>
      </c>
      <c r="K271" s="12" t="inlineStr">
        <is>
          <t>propio</t>
        </is>
      </c>
      <c r="L271" s="12" t="inlineStr">
        <is>
          <t>— (nuevo)</t>
        </is>
      </c>
      <c r="M271" s="10" t="inlineStr">
        <is>
          <t>Pendiente</t>
        </is>
      </c>
      <c r="N271" s="10" t="n"/>
    </row>
    <row r="272" ht="25" customHeight="1">
      <c r="A272" s="16" t="inlineStr">
        <is>
          <t>M-26</t>
        </is>
      </c>
      <c r="B272" s="16" t="inlineStr">
        <is>
          <t>Balanzas</t>
        </is>
      </c>
      <c r="C272" s="16" t="n">
        <v>1</v>
      </c>
      <c r="D272" s="15" t="inlineStr">
        <is>
          <t>codigo</t>
        </is>
      </c>
      <c r="E272" s="16" t="inlineStr">
        <is>
          <t>Código (10)</t>
        </is>
      </c>
      <c r="F272" s="16" t="inlineStr">
        <is>
          <t>Sí</t>
        </is>
      </c>
      <c r="G272" s="16" t="inlineStr">
        <is>
          <t>—</t>
        </is>
      </c>
      <c r="H272" s="16" t="inlineStr">
        <is>
          <t>No</t>
        </is>
      </c>
      <c r="I272" s="16" t="inlineStr">
        <is>
          <t>—</t>
        </is>
      </c>
      <c r="J272" s="16" t="inlineStr">
        <is>
          <t>Modelo</t>
        </is>
      </c>
      <c r="K272" s="16" t="inlineStr">
        <is>
          <t>propio</t>
        </is>
      </c>
      <c r="L272" s="16" t="inlineStr">
        <is>
          <t>MD-20.codigo</t>
        </is>
      </c>
      <c r="M272" s="10" t="inlineStr">
        <is>
          <t>Pendiente</t>
        </is>
      </c>
      <c r="N272" s="10" t="n"/>
    </row>
    <row r="273">
      <c r="A273" s="9" t="inlineStr">
        <is>
          <t>M-26</t>
        </is>
      </c>
      <c r="B273" s="9" t="inlineStr">
        <is>
          <t>Balanzas</t>
        </is>
      </c>
      <c r="C273" s="9" t="n">
        <v>2</v>
      </c>
      <c r="D273" s="8" t="inlineStr">
        <is>
          <t>nombre</t>
        </is>
      </c>
      <c r="E273" s="9" t="inlineStr">
        <is>
          <t>Texto (60)</t>
        </is>
      </c>
      <c r="F273" s="9" t="inlineStr">
        <is>
          <t>Sí</t>
        </is>
      </c>
      <c r="G273" s="9" t="inlineStr">
        <is>
          <t>—</t>
        </is>
      </c>
      <c r="H273" s="9" t="inlineStr">
        <is>
          <t>No</t>
        </is>
      </c>
      <c r="I273" s="9" t="inlineStr">
        <is>
          <t>—</t>
        </is>
      </c>
      <c r="J273" s="9" t="inlineStr">
        <is>
          <t>Modelo</t>
        </is>
      </c>
      <c r="K273" s="9" t="inlineStr">
        <is>
          <t>propio</t>
        </is>
      </c>
      <c r="L273" s="9" t="inlineStr">
        <is>
          <t>MD-20.nombre</t>
        </is>
      </c>
      <c r="M273" s="10" t="inlineStr">
        <is>
          <t>Pendiente</t>
        </is>
      </c>
      <c r="N273" s="10" t="n"/>
    </row>
    <row r="274">
      <c r="A274" s="16" t="inlineStr">
        <is>
          <t>M-26</t>
        </is>
      </c>
      <c r="B274" s="16" t="inlineStr">
        <is>
          <t>Balanzas</t>
        </is>
      </c>
      <c r="C274" s="16" t="n">
        <v>3</v>
      </c>
      <c r="D274" s="15" t="inlineStr">
        <is>
          <t>planta</t>
        </is>
      </c>
      <c r="E274" s="16" t="inlineStr">
        <is>
          <t>Ref. M-09</t>
        </is>
      </c>
      <c r="F274" s="16" t="inlineStr">
        <is>
          <t>Sí</t>
        </is>
      </c>
      <c r="G274" s="16" t="inlineStr">
        <is>
          <t>—</t>
        </is>
      </c>
      <c r="H274" s="16" t="inlineStr">
        <is>
          <t>No</t>
        </is>
      </c>
      <c r="I274" s="16" t="inlineStr">
        <is>
          <t>—</t>
        </is>
      </c>
      <c r="J274" s="16" t="inlineStr">
        <is>
          <t>Modelo</t>
        </is>
      </c>
      <c r="K274" s="16" t="inlineStr">
        <is>
          <t>propio</t>
        </is>
      </c>
      <c r="L274" s="16" t="inlineStr">
        <is>
          <t>MD-20.planta</t>
        </is>
      </c>
      <c r="M274" s="10" t="inlineStr">
        <is>
          <t>Pendiente</t>
        </is>
      </c>
      <c r="N274" s="10" t="n"/>
    </row>
    <row r="275">
      <c r="A275" s="9" t="inlineStr">
        <is>
          <t>M-26</t>
        </is>
      </c>
      <c r="B275" s="9" t="inlineStr">
        <is>
          <t>Balanzas</t>
        </is>
      </c>
      <c r="C275" s="9" t="n">
        <v>4</v>
      </c>
      <c r="D275" s="8" t="inlineStr">
        <is>
          <t>propiedad</t>
        </is>
      </c>
      <c r="E275" s="9" t="inlineStr">
        <is>
          <t>Enumerado</t>
        </is>
      </c>
      <c r="F275" s="9" t="inlineStr">
        <is>
          <t>Sí</t>
        </is>
      </c>
      <c r="G275" s="9" t="inlineStr">
        <is>
          <t>propia · de puerto · de tercero</t>
        </is>
      </c>
      <c r="H275" s="9" t="inlineStr">
        <is>
          <t>No</t>
        </is>
      </c>
      <c r="I275" s="9" t="inlineStr">
        <is>
          <t>—</t>
        </is>
      </c>
      <c r="J275" s="9" t="inlineStr">
        <is>
          <t>Modelo</t>
        </is>
      </c>
      <c r="K275" s="9" t="inlineStr">
        <is>
          <t>propio</t>
        </is>
      </c>
      <c r="L275" s="9" t="inlineStr">
        <is>
          <t>MD-20.propiedad</t>
        </is>
      </c>
      <c r="M275" s="10" t="inlineStr">
        <is>
          <t>Pendiente</t>
        </is>
      </c>
      <c r="N275" s="10" t="n"/>
    </row>
    <row r="276">
      <c r="A276" s="16" t="inlineStr">
        <is>
          <t>M-26</t>
        </is>
      </c>
      <c r="B276" s="16" t="inlineStr">
        <is>
          <t>Balanzas</t>
        </is>
      </c>
      <c r="C276" s="16" t="n">
        <v>5</v>
      </c>
      <c r="D276" s="15" t="inlineStr">
        <is>
          <t>alcance</t>
        </is>
      </c>
      <c r="E276" s="16" t="inlineStr">
        <is>
          <t>Enumerado</t>
        </is>
      </c>
      <c r="F276" s="16" t="inlineStr">
        <is>
          <t>Sí</t>
        </is>
      </c>
      <c r="G276" s="16" t="inlineStr">
        <is>
          <t>fiscal · de depósito · interna</t>
        </is>
      </c>
      <c r="H276" s="16" t="inlineStr">
        <is>
          <t>No</t>
        </is>
      </c>
      <c r="I276" s="16" t="inlineStr">
        <is>
          <t>—</t>
        </is>
      </c>
      <c r="J276" s="16" t="inlineStr">
        <is>
          <t>Modelo</t>
        </is>
      </c>
      <c r="K276" s="16" t="inlineStr">
        <is>
          <t>propio</t>
        </is>
      </c>
      <c r="L276" s="16" t="inlineStr">
        <is>
          <t>MD-20.alcance</t>
        </is>
      </c>
      <c r="M276" s="10" t="inlineStr">
        <is>
          <t>Pendiente</t>
        </is>
      </c>
      <c r="N276" s="10" t="n"/>
    </row>
    <row r="277">
      <c r="A277" s="9" t="inlineStr">
        <is>
          <t>M-26</t>
        </is>
      </c>
      <c r="B277" s="9" t="inlineStr">
        <is>
          <t>Balanzas</t>
        </is>
      </c>
      <c r="C277" s="9" t="n">
        <v>6</v>
      </c>
      <c r="D277" s="8" t="inlineStr">
        <is>
          <t>capacidad_tn_h</t>
        </is>
      </c>
      <c r="E277" s="9" t="inlineStr">
        <is>
          <t>Decimal (8,2)</t>
        </is>
      </c>
      <c r="F277" s="9" t="inlineStr">
        <is>
          <t>Sí</t>
        </is>
      </c>
      <c r="G277" s="9" t="inlineStr">
        <is>
          <t>&gt; 0</t>
        </is>
      </c>
      <c r="H277" s="9" t="inlineStr">
        <is>
          <t>Sí</t>
        </is>
      </c>
      <c r="I277" s="9" t="inlineStr">
        <is>
          <t>—</t>
        </is>
      </c>
      <c r="J277" s="9" t="inlineStr">
        <is>
          <t>Modelo</t>
        </is>
      </c>
      <c r="K277" s="9" t="inlineStr">
        <is>
          <t>propio</t>
        </is>
      </c>
      <c r="L277" s="9" t="inlineStr">
        <is>
          <t>MD-20.capacidad_tn_h</t>
        </is>
      </c>
      <c r="M277" s="10" t="inlineStr">
        <is>
          <t>Pendiente</t>
        </is>
      </c>
      <c r="N277" s="10" t="n"/>
    </row>
    <row r="278">
      <c r="A278" s="16" t="inlineStr">
        <is>
          <t>M-26</t>
        </is>
      </c>
      <c r="B278" s="16" t="inlineStr">
        <is>
          <t>Balanzas</t>
        </is>
      </c>
      <c r="C278" s="16" t="n">
        <v>7</v>
      </c>
      <c r="D278" s="15" t="inlineStr">
        <is>
          <t>capacidad_camiones_h</t>
        </is>
      </c>
      <c r="E278" s="16" t="inlineStr">
        <is>
          <t>Decimal (6,2)</t>
        </is>
      </c>
      <c r="F278" s="16" t="inlineStr">
        <is>
          <t>Sí</t>
        </is>
      </c>
      <c r="G278" s="16" t="inlineStr">
        <is>
          <t>&gt; 0</t>
        </is>
      </c>
      <c r="H278" s="16" t="inlineStr">
        <is>
          <t>Sí</t>
        </is>
      </c>
      <c r="I278" s="16" t="inlineStr">
        <is>
          <t>—</t>
        </is>
      </c>
      <c r="J278" s="16" t="inlineStr">
        <is>
          <t>Modelo</t>
        </is>
      </c>
      <c r="K278" s="16" t="inlineStr">
        <is>
          <t>propio</t>
        </is>
      </c>
      <c r="L278" s="16" t="inlineStr">
        <is>
          <t>MD-20.capacidad_camiones_h</t>
        </is>
      </c>
      <c r="M278" s="10" t="inlineStr">
        <is>
          <t>Pendiente</t>
        </is>
      </c>
      <c r="N278" s="10" t="n"/>
    </row>
    <row r="279">
      <c r="A279" s="9" t="inlineStr">
        <is>
          <t>M-26</t>
        </is>
      </c>
      <c r="B279" s="9" t="inlineStr">
        <is>
          <t>Balanzas</t>
        </is>
      </c>
      <c r="C279" s="9" t="n">
        <v>8</v>
      </c>
      <c r="D279" s="8" t="inlineStr">
        <is>
          <t>disponibilidad_por_banda_horaria</t>
        </is>
      </c>
      <c r="E279" s="9" t="inlineStr">
        <is>
          <t>Texto (40)</t>
        </is>
      </c>
      <c r="F279" s="9" t="inlineStr">
        <is>
          <t>No</t>
        </is>
      </c>
      <c r="G279" s="9" t="inlineStr">
        <is>
          <t>T1 · T2 · T3</t>
        </is>
      </c>
      <c r="H279" s="9" t="inlineStr">
        <is>
          <t>No</t>
        </is>
      </c>
      <c r="I279" s="9" t="inlineStr">
        <is>
          <t>—</t>
        </is>
      </c>
      <c r="J279" s="9" t="inlineStr">
        <is>
          <t>Modelo</t>
        </is>
      </c>
      <c r="K279" s="9" t="inlineStr">
        <is>
          <t>propio</t>
        </is>
      </c>
      <c r="L279" s="9" t="inlineStr">
        <is>
          <t>MD-20.disponibilidad_por_banda_horaria</t>
        </is>
      </c>
      <c r="M279" s="10" t="inlineStr">
        <is>
          <t>Pendiente</t>
        </is>
      </c>
      <c r="N279" s="10" t="n"/>
    </row>
    <row r="280" ht="25" customHeight="1">
      <c r="A280" s="16" t="inlineStr">
        <is>
          <t>M-26</t>
        </is>
      </c>
      <c r="B280" s="16" t="inlineStr">
        <is>
          <t>Balanzas</t>
        </is>
      </c>
      <c r="C280" s="16" t="n">
        <v>11</v>
      </c>
      <c r="D280" s="15" t="inlineStr">
        <is>
          <t>certificacion</t>
        </is>
      </c>
      <c r="E280" s="16" t="inlineStr">
        <is>
          <t>Código (30)</t>
        </is>
      </c>
      <c r="F280" s="16" t="inlineStr">
        <is>
          <t>Sí</t>
        </is>
      </c>
      <c r="G280" s="16" t="inlineStr">
        <is>
          <t>certificado INTI</t>
        </is>
      </c>
      <c r="H280" s="16" t="inlineStr">
        <is>
          <t>No</t>
        </is>
      </c>
      <c r="I280" s="16" t="inlineStr">
        <is>
          <t>—</t>
        </is>
      </c>
      <c r="J280" s="16" t="inlineStr">
        <is>
          <t>Modelo</t>
        </is>
      </c>
      <c r="K280" s="16" t="inlineStr">
        <is>
          <t>propio</t>
        </is>
      </c>
      <c r="L280" s="16" t="inlineStr">
        <is>
          <t>MD-20.certificacion</t>
        </is>
      </c>
      <c r="M280" s="10" t="inlineStr">
        <is>
          <t>Pendiente</t>
        </is>
      </c>
      <c r="N280" s="10" t="n"/>
    </row>
    <row r="281">
      <c r="A281" s="12" t="inlineStr">
        <is>
          <t>M-26</t>
        </is>
      </c>
      <c r="B281" s="12" t="inlineStr">
        <is>
          <t>Balanzas</t>
        </is>
      </c>
      <c r="C281" s="12" t="n">
        <v>12</v>
      </c>
      <c r="D281" s="11" t="inlineStr">
        <is>
          <t>fecha_emision</t>
        </is>
      </c>
      <c r="E281" s="12" t="inlineStr">
        <is>
          <t>Fecha</t>
        </is>
      </c>
      <c r="F281" s="12" t="inlineStr">
        <is>
          <t>No</t>
        </is>
      </c>
      <c r="G281" s="12" t="inlineStr">
        <is>
          <t>—</t>
        </is>
      </c>
      <c r="H281" s="12" t="inlineStr">
        <is>
          <t>No</t>
        </is>
      </c>
      <c r="I281" s="12" t="inlineStr">
        <is>
          <t>—</t>
        </is>
      </c>
      <c r="J281" s="12" t="inlineStr">
        <is>
          <t>Modelo</t>
        </is>
      </c>
      <c r="K281" s="12" t="inlineStr">
        <is>
          <t>propio</t>
        </is>
      </c>
      <c r="L281" s="12" t="inlineStr">
        <is>
          <t>— (nuevo)</t>
        </is>
      </c>
      <c r="M281" s="10" t="inlineStr">
        <is>
          <t>Pendiente</t>
        </is>
      </c>
      <c r="N281" s="10" t="n"/>
    </row>
    <row r="282">
      <c r="A282" s="16" t="inlineStr">
        <is>
          <t>M-26</t>
        </is>
      </c>
      <c r="B282" s="16" t="inlineStr">
        <is>
          <t>Balanzas</t>
        </is>
      </c>
      <c r="C282" s="16" t="n">
        <v>13</v>
      </c>
      <c r="D282" s="15" t="inlineStr">
        <is>
          <t>fecha_vencimiento</t>
        </is>
      </c>
      <c r="E282" s="16" t="inlineStr">
        <is>
          <t>Fecha</t>
        </is>
      </c>
      <c r="F282" s="16" t="inlineStr">
        <is>
          <t>Sí</t>
        </is>
      </c>
      <c r="G282" s="16" t="inlineStr">
        <is>
          <t>futuro</t>
        </is>
      </c>
      <c r="H282" s="16" t="inlineStr">
        <is>
          <t>No</t>
        </is>
      </c>
      <c r="I282" s="16" t="inlineStr">
        <is>
          <t>—</t>
        </is>
      </c>
      <c r="J282" s="16" t="inlineStr">
        <is>
          <t>Modelo</t>
        </is>
      </c>
      <c r="K282" s="16" t="inlineStr">
        <is>
          <t>propio</t>
        </is>
      </c>
      <c r="L282" s="16" t="inlineStr">
        <is>
          <t>MD-20.certificacion · MD-20.certificacion</t>
        </is>
      </c>
      <c r="M282" s="10" t="inlineStr">
        <is>
          <t>Pendiente</t>
        </is>
      </c>
      <c r="N282" s="10" t="n"/>
    </row>
    <row r="283">
      <c r="A283" s="12" t="inlineStr">
        <is>
          <t>M-26</t>
        </is>
      </c>
      <c r="B283" s="12" t="inlineStr">
        <is>
          <t>Balanzas</t>
        </is>
      </c>
      <c r="C283" s="12" t="n">
        <v>14</v>
      </c>
      <c r="D283" s="11" t="inlineStr">
        <is>
          <t>dias_aviso</t>
        </is>
      </c>
      <c r="E283" s="12" t="inlineStr">
        <is>
          <t>Entero</t>
        </is>
      </c>
      <c r="F283" s="12" t="inlineStr">
        <is>
          <t>Sí</t>
        </is>
      </c>
      <c r="G283" s="12" t="inlineStr">
        <is>
          <t>≥ 0</t>
        </is>
      </c>
      <c r="H283" s="12" t="inlineStr">
        <is>
          <t>Sí</t>
        </is>
      </c>
      <c r="I283" s="12" t="inlineStr">
        <is>
          <t>—</t>
        </is>
      </c>
      <c r="J283" s="12" t="inlineStr">
        <is>
          <t>Modelo</t>
        </is>
      </c>
      <c r="K283" s="12" t="inlineStr">
        <is>
          <t>propio</t>
        </is>
      </c>
      <c r="L283" s="12" t="inlineStr">
        <is>
          <t>— (nuevo)</t>
        </is>
      </c>
      <c r="M283" s="10" t="inlineStr">
        <is>
          <t>Pendiente</t>
        </is>
      </c>
      <c r="N283" s="10" t="n"/>
    </row>
    <row r="284">
      <c r="A284" s="16" t="inlineStr">
        <is>
          <t>M-26</t>
        </is>
      </c>
      <c r="B284" s="16" t="inlineStr">
        <is>
          <t>Balanzas</t>
        </is>
      </c>
      <c r="C284" s="16" t="n">
        <v>16</v>
      </c>
      <c r="D284" s="15" t="inlineStr">
        <is>
          <t>estado</t>
        </is>
      </c>
      <c r="E284" s="16" t="inlineStr">
        <is>
          <t>Enumerado</t>
        </is>
      </c>
      <c r="F284" s="16" t="inlineStr">
        <is>
          <t>Sí</t>
        </is>
      </c>
      <c r="G284" s="16" t="inlineStr">
        <is>
          <t>operativa · en mantenimiento · fuera de tipo_servicio</t>
        </is>
      </c>
      <c r="H284" s="16" t="inlineStr">
        <is>
          <t>No</t>
        </is>
      </c>
      <c r="I284" s="16" t="inlineStr">
        <is>
          <t>—</t>
        </is>
      </c>
      <c r="J284" s="16" t="inlineStr">
        <is>
          <t>Modelo</t>
        </is>
      </c>
      <c r="K284" s="16" t="inlineStr">
        <is>
          <t>propio</t>
        </is>
      </c>
      <c r="L284" s="16" t="inlineStr">
        <is>
          <t>MD-20.estado</t>
        </is>
      </c>
      <c r="M284" s="10" t="inlineStr">
        <is>
          <t>Pendiente</t>
        </is>
      </c>
      <c r="N284" s="10" t="n"/>
    </row>
    <row r="285">
      <c r="A285" s="17" t="inlineStr">
        <is>
          <t>M-26</t>
        </is>
      </c>
      <c r="B285" s="17" t="inlineStr">
        <is>
          <t>Balanzas</t>
        </is>
      </c>
      <c r="C285" s="17" t="n">
        <v>17</v>
      </c>
      <c r="D285" s="18" t="inlineStr">
        <is>
          <t>prevalece_en_conciliacion ★</t>
        </is>
      </c>
      <c r="E285" s="17" t="inlineStr">
        <is>
          <t>Lógico</t>
        </is>
      </c>
      <c r="F285" s="17" t="inlineStr">
        <is>
          <t>No</t>
        </is>
      </c>
      <c r="G285" s="17" t="inlineStr">
        <is>
          <t>V / F</t>
        </is>
      </c>
      <c r="H285" s="17" t="inlineStr">
        <is>
          <t>Sí</t>
        </is>
      </c>
      <c r="I285" s="17" t="inlineStr">
        <is>
          <t>Cuál manda si dos balanzas difieren</t>
        </is>
      </c>
      <c r="J285" s="17" t="inlineStr">
        <is>
          <t>★ Simulador</t>
        </is>
      </c>
      <c r="K285" s="17" t="inlineStr">
        <is>
          <t>propio</t>
        </is>
      </c>
      <c r="L285" s="17" t="inlineStr">
        <is>
          <t>MD-20.prevalece_en_conciliacion</t>
        </is>
      </c>
      <c r="M285" s="10" t="inlineStr">
        <is>
          <t>Pendiente</t>
        </is>
      </c>
      <c r="N285" s="10" t="n"/>
    </row>
    <row r="286">
      <c r="A286" s="17" t="inlineStr">
        <is>
          <t>M-26</t>
        </is>
      </c>
      <c r="B286" s="17" t="inlineStr">
        <is>
          <t>Balanzas</t>
        </is>
      </c>
      <c r="C286" s="17" t="n">
        <v>18</v>
      </c>
      <c r="D286" s="18" t="inlineStr">
        <is>
          <t>cola_maxima_camiones ★</t>
        </is>
      </c>
      <c r="E286" s="17" t="inlineStr">
        <is>
          <t>Entero</t>
        </is>
      </c>
      <c r="F286" s="17" t="inlineStr">
        <is>
          <t>No</t>
        </is>
      </c>
      <c r="G286" s="17" t="inlineStr">
        <is>
          <t>≥ 0</t>
        </is>
      </c>
      <c r="H286" s="17" t="inlineStr">
        <is>
          <t>Sí</t>
        </is>
      </c>
      <c r="I286" s="17" t="inlineStr">
        <is>
          <t>Umbral de derivación por congestión</t>
        </is>
      </c>
      <c r="J286" s="17" t="inlineStr">
        <is>
          <t>★ Simulador</t>
        </is>
      </c>
      <c r="K286" s="17" t="inlineStr">
        <is>
          <t>propio</t>
        </is>
      </c>
      <c r="L286" s="17" t="inlineStr">
        <is>
          <t>MD-20.cola_maxima_camiones</t>
        </is>
      </c>
      <c r="M286" s="10" t="inlineStr">
        <is>
          <t>Pendiente</t>
        </is>
      </c>
      <c r="N286" s="10" t="n"/>
    </row>
    <row r="287">
      <c r="A287" s="12" t="inlineStr">
        <is>
          <t>M-26</t>
        </is>
      </c>
      <c r="B287" s="12" t="inlineStr">
        <is>
          <t>Balanzas</t>
        </is>
      </c>
      <c r="C287" s="12" t="n">
        <v>9</v>
      </c>
      <c r="D287" s="11" t="inlineStr">
        <is>
          <t>habilitada_fiscal</t>
        </is>
      </c>
      <c r="E287" s="12" t="inlineStr">
        <is>
          <t>Lógico</t>
        </is>
      </c>
      <c r="F287" s="12" t="inlineStr">
        <is>
          <t>Sí</t>
        </is>
      </c>
      <c r="G287" s="12" t="inlineStr">
        <is>
          <t>V / F</t>
        </is>
      </c>
      <c r="H287" s="12" t="inlineStr">
        <is>
          <t>No</t>
        </is>
      </c>
      <c r="I287" s="12" t="inlineStr">
        <is>
          <t>Balanza habilitada para pesar mercadería no nacionalizada. Si la mercadería del operativo no está nacionalizada solo se ofrecen balanzas con V</t>
        </is>
      </c>
      <c r="J287" s="12" t="inlineStr">
        <is>
          <t>Revisión 15/09/2026</t>
        </is>
      </c>
      <c r="K287" s="12" t="inlineStr">
        <is>
          <t>propio</t>
        </is>
      </c>
      <c r="L287" s="12" t="inlineStr">
        <is>
          <t>— (nuevo)</t>
        </is>
      </c>
      <c r="M287" s="10" t="inlineStr">
        <is>
          <t>Pendiente</t>
        </is>
      </c>
      <c r="N287" s="10" t="n"/>
    </row>
    <row r="288">
      <c r="A288" s="12" t="inlineStr">
        <is>
          <t>M-26</t>
        </is>
      </c>
      <c r="B288" s="12" t="inlineStr">
        <is>
          <t>Balanzas</t>
        </is>
      </c>
      <c r="C288" s="12" t="n">
        <v>10</v>
      </c>
      <c r="D288" s="11" t="inlineStr">
        <is>
          <t>habilitacion_fiscal_vto</t>
        </is>
      </c>
      <c r="E288" s="12" t="inlineStr">
        <is>
          <t>Fecha</t>
        </is>
      </c>
      <c r="F288" s="12" t="inlineStr">
        <is>
          <t>Condicional</t>
        </is>
      </c>
      <c r="G288" s="12" t="inlineStr">
        <is>
          <t>obligatoria si habilitada_fiscal = V</t>
        </is>
      </c>
      <c r="H288" s="12" t="inlineStr">
        <is>
          <t>No</t>
        </is>
      </c>
      <c r="I288" s="12" t="inlineStr">
        <is>
          <t>Vencimiento de la habilitación fiscal de la balanza (CV-4: vencida → no se ofrece para fiscal)</t>
        </is>
      </c>
      <c r="J288" s="12" t="inlineStr">
        <is>
          <t>Revisión 15/09/2026</t>
        </is>
      </c>
      <c r="K288" s="12" t="inlineStr">
        <is>
          <t>propio</t>
        </is>
      </c>
      <c r="L288" s="12" t="inlineStr">
        <is>
          <t>— (nuevo)</t>
        </is>
      </c>
      <c r="M288" s="10" t="inlineStr">
        <is>
          <t>Pendiente</t>
        </is>
      </c>
      <c r="N288" s="10" t="n"/>
    </row>
    <row r="289">
      <c r="A289" s="12" t="inlineStr">
        <is>
          <t>M-26</t>
        </is>
      </c>
      <c r="B289" s="12" t="inlineStr">
        <is>
          <t>Balanzas</t>
        </is>
      </c>
      <c r="C289" s="12" t="n">
        <v>15</v>
      </c>
      <c r="D289" s="11" t="inlineStr">
        <is>
          <t>metodo_seguro</t>
        </is>
      </c>
      <c r="E289" s="12" t="inlineStr">
        <is>
          <t>Ref. M-34 (múltiple)</t>
        </is>
      </c>
      <c r="F289" s="12" t="inlineStr">
        <is>
          <t>Sí</t>
        </is>
      </c>
      <c r="G289" s="12" t="inlineStr">
        <is>
          <t>uno o más MS vigentes</t>
        </is>
      </c>
      <c r="H289" s="12" t="inlineStr">
        <is>
          <t>No</t>
        </is>
      </c>
      <c r="I289" s="12" t="inlineStr">
        <is>
          <t>Método seguro de pesaje y circulación en balanza. Vencido → sin disponibilidad</t>
        </is>
      </c>
      <c r="J289" s="12" t="inlineStr">
        <is>
          <t>Revisión 15/09/2026</t>
        </is>
      </c>
      <c r="K289" s="12" t="inlineStr">
        <is>
          <t>propio</t>
        </is>
      </c>
      <c r="L289" s="12" t="inlineStr">
        <is>
          <t>— (nuevo)</t>
        </is>
      </c>
      <c r="M289" s="10" t="inlineStr">
        <is>
          <t>Pendiente</t>
        </is>
      </c>
      <c r="N289" s="10" t="n"/>
    </row>
    <row r="290" ht="25" customHeight="1">
      <c r="A290" s="9" t="inlineStr">
        <is>
          <t>M-27</t>
        </is>
      </c>
      <c r="B290" s="9" t="inlineStr">
        <is>
          <t>Choferes</t>
        </is>
      </c>
      <c r="C290" s="9" t="n">
        <v>1</v>
      </c>
      <c r="D290" s="8" t="inlineStr">
        <is>
          <t>cuil</t>
        </is>
      </c>
      <c r="E290" s="9" t="inlineStr">
        <is>
          <t>Código (11)</t>
        </is>
      </c>
      <c r="F290" s="9" t="inlineStr">
        <is>
          <t>Sí</t>
        </is>
      </c>
      <c r="G290" s="9" t="inlineStr">
        <is>
          <t>—</t>
        </is>
      </c>
      <c r="H290" s="9" t="inlineStr">
        <is>
          <t>No</t>
        </is>
      </c>
      <c r="I290" s="9" t="inlineStr">
        <is>
          <t>—</t>
        </is>
      </c>
      <c r="J290" s="9" t="inlineStr">
        <is>
          <t>Modelo</t>
        </is>
      </c>
      <c r="K290" s="9" t="inlineStr">
        <is>
          <t>propio</t>
        </is>
      </c>
      <c r="L290" s="9" t="inlineStr">
        <is>
          <t>MD-22.cuil</t>
        </is>
      </c>
      <c r="M290" s="10" t="inlineStr">
        <is>
          <t>Pendiente</t>
        </is>
      </c>
      <c r="N290" s="10" t="n"/>
    </row>
    <row r="291">
      <c r="A291" s="16" t="inlineStr">
        <is>
          <t>M-27</t>
        </is>
      </c>
      <c r="B291" s="16" t="inlineStr">
        <is>
          <t>Choferes</t>
        </is>
      </c>
      <c r="C291" s="16" t="n">
        <v>2</v>
      </c>
      <c r="D291" s="15" t="inlineStr">
        <is>
          <t>nombre</t>
        </is>
      </c>
      <c r="E291" s="16" t="inlineStr">
        <is>
          <t>Texto (120)</t>
        </is>
      </c>
      <c r="F291" s="16" t="inlineStr">
        <is>
          <t>Sí</t>
        </is>
      </c>
      <c r="G291" s="16" t="inlineStr">
        <is>
          <t>—</t>
        </is>
      </c>
      <c r="H291" s="16" t="inlineStr">
        <is>
          <t>No</t>
        </is>
      </c>
      <c r="I291" s="16" t="inlineStr">
        <is>
          <t>—</t>
        </is>
      </c>
      <c r="J291" s="16" t="inlineStr">
        <is>
          <t>Modelo</t>
        </is>
      </c>
      <c r="K291" s="16" t="inlineStr">
        <is>
          <t>propio</t>
        </is>
      </c>
      <c r="L291" s="16" t="inlineStr">
        <is>
          <t>MD-22.nombre</t>
        </is>
      </c>
      <c r="M291" s="10" t="inlineStr">
        <is>
          <t>Pendiente</t>
        </is>
      </c>
      <c r="N291" s="10" t="n"/>
    </row>
    <row r="292" ht="25" customHeight="1">
      <c r="A292" s="9" t="inlineStr">
        <is>
          <t>M-27</t>
        </is>
      </c>
      <c r="B292" s="9" t="inlineStr">
        <is>
          <t>Choferes</t>
        </is>
      </c>
      <c r="C292" s="9" t="n">
        <v>3</v>
      </c>
      <c r="D292" s="8" t="inlineStr">
        <is>
          <t>licencia</t>
        </is>
      </c>
      <c r="E292" s="9" t="inlineStr">
        <is>
          <t>Código + Fecha</t>
        </is>
      </c>
      <c r="F292" s="9" t="inlineStr">
        <is>
          <t>Sí</t>
        </is>
      </c>
      <c r="G292" s="9" t="inlineStr">
        <is>
          <t>vencimiento futuro</t>
        </is>
      </c>
      <c r="H292" s="9" t="inlineStr">
        <is>
          <t>No</t>
        </is>
      </c>
      <c r="I292" s="9" t="inlineStr">
        <is>
          <t>—</t>
        </is>
      </c>
      <c r="J292" s="9" t="inlineStr">
        <is>
          <t>Modelo</t>
        </is>
      </c>
      <c r="K292" s="9" t="inlineStr">
        <is>
          <t>propio</t>
        </is>
      </c>
      <c r="L292" s="9" t="inlineStr">
        <is>
          <t>MD-22.licencia</t>
        </is>
      </c>
      <c r="M292" s="10" t="inlineStr">
        <is>
          <t>Pendiente</t>
        </is>
      </c>
      <c r="N292" s="10" t="n"/>
    </row>
    <row r="293">
      <c r="A293" s="16" t="inlineStr">
        <is>
          <t>M-27</t>
        </is>
      </c>
      <c r="B293" s="16" t="inlineStr">
        <is>
          <t>Choferes</t>
        </is>
      </c>
      <c r="C293" s="16" t="n">
        <v>4</v>
      </c>
      <c r="D293" s="15" t="inlineStr">
        <is>
          <t>credencial_puerto</t>
        </is>
      </c>
      <c r="E293" s="16" t="inlineStr">
        <is>
          <t>Código + Fecha</t>
        </is>
      </c>
      <c r="F293" s="16" t="inlineStr">
        <is>
          <t>Sí</t>
        </is>
      </c>
      <c r="G293" s="16" t="inlineStr">
        <is>
          <t>vencimiento futuro</t>
        </is>
      </c>
      <c r="H293" s="16" t="inlineStr">
        <is>
          <t>No</t>
        </is>
      </c>
      <c r="I293" s="16" t="inlineStr">
        <is>
          <t>—</t>
        </is>
      </c>
      <c r="J293" s="16" t="inlineStr">
        <is>
          <t>Modelo</t>
        </is>
      </c>
      <c r="K293" s="16" t="inlineStr">
        <is>
          <t>propio</t>
        </is>
      </c>
      <c r="L293" s="16" t="inlineStr">
        <is>
          <t>MD-22.credencial_puerto</t>
        </is>
      </c>
      <c r="M293" s="10" t="inlineStr">
        <is>
          <t>Pendiente</t>
        </is>
      </c>
      <c r="N293" s="10" t="n"/>
    </row>
    <row r="294">
      <c r="A294" s="9" t="inlineStr">
        <is>
          <t>M-27</t>
        </is>
      </c>
      <c r="B294" s="9" t="inlineStr">
        <is>
          <t>Choferes</t>
        </is>
      </c>
      <c r="C294" s="9" t="n">
        <v>5</v>
      </c>
      <c r="D294" s="8" t="inlineStr">
        <is>
          <t>art_seguro</t>
        </is>
      </c>
      <c r="E294" s="9" t="inlineStr">
        <is>
          <t>Adjunto + Fecha</t>
        </is>
      </c>
      <c r="F294" s="9" t="inlineStr">
        <is>
          <t>Sí</t>
        </is>
      </c>
      <c r="G294" s="9" t="inlineStr">
        <is>
          <t>vencimiento futuro</t>
        </is>
      </c>
      <c r="H294" s="9" t="inlineStr">
        <is>
          <t>No</t>
        </is>
      </c>
      <c r="I294" s="9" t="inlineStr">
        <is>
          <t>—</t>
        </is>
      </c>
      <c r="J294" s="9" t="inlineStr">
        <is>
          <t>Modelo</t>
        </is>
      </c>
      <c r="K294" s="9" t="inlineStr">
        <is>
          <t>propio</t>
        </is>
      </c>
      <c r="L294" s="9" t="inlineStr">
        <is>
          <t>MD-22.art_seguro</t>
        </is>
      </c>
      <c r="M294" s="10" t="inlineStr">
        <is>
          <t>Pendiente</t>
        </is>
      </c>
      <c r="N294" s="10" t="n"/>
    </row>
    <row r="295">
      <c r="A295" s="16" t="inlineStr">
        <is>
          <t>M-27</t>
        </is>
      </c>
      <c r="B295" s="16" t="inlineStr">
        <is>
          <t>Choferes</t>
        </is>
      </c>
      <c r="C295" s="16" t="n">
        <v>6</v>
      </c>
      <c r="D295" s="15" t="inlineStr">
        <is>
          <t>estado</t>
        </is>
      </c>
      <c r="E295" s="16" t="inlineStr">
        <is>
          <t>Enumerado</t>
        </is>
      </c>
      <c r="F295" s="16" t="inlineStr">
        <is>
          <t>Sí</t>
        </is>
      </c>
      <c r="G295" s="16" t="inlineStr">
        <is>
          <t>habilitado · suspendido · inhabilitado</t>
        </is>
      </c>
      <c r="H295" s="16" t="inlineStr">
        <is>
          <t>No</t>
        </is>
      </c>
      <c r="I295" s="16" t="inlineStr">
        <is>
          <t>—</t>
        </is>
      </c>
      <c r="J295" s="16" t="inlineStr">
        <is>
          <t>Modelo</t>
        </is>
      </c>
      <c r="K295" s="16" t="inlineStr">
        <is>
          <t>propio</t>
        </is>
      </c>
      <c r="L295" s="16" t="inlineStr">
        <is>
          <t>MD-22.estado</t>
        </is>
      </c>
      <c r="M295" s="10" t="inlineStr">
        <is>
          <t>Pendiente</t>
        </is>
      </c>
      <c r="N295" s="10" t="n"/>
    </row>
    <row r="296">
      <c r="A296" s="17" t="inlineStr">
        <is>
          <t>M-27</t>
        </is>
      </c>
      <c r="B296" s="17" t="inlineStr">
        <is>
          <t>Choferes</t>
        </is>
      </c>
      <c r="C296" s="17" t="n">
        <v>7</v>
      </c>
      <c r="D296" s="18" t="inlineStr">
        <is>
          <t>transportista ★</t>
        </is>
      </c>
      <c r="E296" s="17" t="inlineStr">
        <is>
          <t>Ref. M-06</t>
        </is>
      </c>
      <c r="F296" s="17" t="inlineStr">
        <is>
          <t>No</t>
        </is>
      </c>
      <c r="G296" s="17" t="inlineStr">
        <is>
          <t>proveedor de transporte</t>
        </is>
      </c>
      <c r="H296" s="17" t="inlineStr">
        <is>
          <t>No</t>
        </is>
      </c>
      <c r="I296" s="17" t="inlineStr">
        <is>
          <t>Transportista habitual (opcional: un chofer puede trabajar para varios; la habilitación por operativo es en TX-21)</t>
        </is>
      </c>
      <c r="J296" s="17" t="inlineStr">
        <is>
          <t>★ Simulador</t>
        </is>
      </c>
      <c r="K296" s="17" t="inlineStr">
        <is>
          <t>contextual</t>
        </is>
      </c>
      <c r="L296" s="17" t="inlineStr">
        <is>
          <t>MD-22.transportista</t>
        </is>
      </c>
      <c r="M296" s="10" t="inlineStr">
        <is>
          <t>Pendiente</t>
        </is>
      </c>
      <c r="N296" s="10" t="n"/>
    </row>
    <row r="297">
      <c r="A297" s="16" t="inlineStr">
        <is>
          <t>M-28</t>
        </is>
      </c>
      <c r="B297" s="16" t="inlineStr">
        <is>
          <t>Personal propio</t>
        </is>
      </c>
      <c r="C297" s="16" t="n">
        <v>1</v>
      </c>
      <c r="D297" s="15" t="inlineStr">
        <is>
          <t>legajo</t>
        </is>
      </c>
      <c r="E297" s="16" t="inlineStr">
        <is>
          <t>Código (11)</t>
        </is>
      </c>
      <c r="F297" s="16" t="inlineStr">
        <is>
          <t>Sí</t>
        </is>
      </c>
      <c r="G297" s="16" t="inlineStr">
        <is>
          <t>legajo o CUIL · único</t>
        </is>
      </c>
      <c r="H297" s="16" t="inlineStr">
        <is>
          <t>No</t>
        </is>
      </c>
      <c r="I297" s="16" t="inlineStr">
        <is>
          <t>—</t>
        </is>
      </c>
      <c r="J297" s="16" t="inlineStr">
        <is>
          <t>Modelo</t>
        </is>
      </c>
      <c r="K297" s="16" t="inlineStr">
        <is>
          <t>propio</t>
        </is>
      </c>
      <c r="L297" s="16" t="inlineStr">
        <is>
          <t>MD-25.cuil</t>
        </is>
      </c>
      <c r="M297" s="10" t="inlineStr">
        <is>
          <t>Pendiente</t>
        </is>
      </c>
      <c r="N297" s="10" t="n"/>
    </row>
    <row r="298">
      <c r="A298" s="9" t="inlineStr">
        <is>
          <t>M-28</t>
        </is>
      </c>
      <c r="B298" s="9" t="inlineStr">
        <is>
          <t>Personal propio</t>
        </is>
      </c>
      <c r="C298" s="9" t="n">
        <v>2</v>
      </c>
      <c r="D298" s="8" t="inlineStr">
        <is>
          <t>nombre</t>
        </is>
      </c>
      <c r="E298" s="9" t="inlineStr">
        <is>
          <t>Texto (120)</t>
        </is>
      </c>
      <c r="F298" s="9" t="inlineStr">
        <is>
          <t>Sí</t>
        </is>
      </c>
      <c r="G298" s="9" t="inlineStr">
        <is>
          <t>—</t>
        </is>
      </c>
      <c r="H298" s="9" t="inlineStr">
        <is>
          <t>No</t>
        </is>
      </c>
      <c r="I298" s="9" t="inlineStr">
        <is>
          <t>—</t>
        </is>
      </c>
      <c r="J298" s="9" t="inlineStr">
        <is>
          <t>Modelo</t>
        </is>
      </c>
      <c r="K298" s="9" t="inlineStr">
        <is>
          <t>propio</t>
        </is>
      </c>
      <c r="L298" s="9" t="inlineStr">
        <is>
          <t>MD-25.nombre</t>
        </is>
      </c>
      <c r="M298" s="10" t="inlineStr">
        <is>
          <t>Pendiente</t>
        </is>
      </c>
      <c r="N298" s="10" t="n"/>
    </row>
    <row r="299">
      <c r="A299" s="16" t="inlineStr">
        <is>
          <t>M-28</t>
        </is>
      </c>
      <c r="B299" s="16" t="inlineStr">
        <is>
          <t>Personal propio</t>
        </is>
      </c>
      <c r="C299" s="16" t="n">
        <v>3</v>
      </c>
      <c r="D299" s="15" t="inlineStr">
        <is>
          <t>tipo</t>
        </is>
      </c>
      <c r="E299" s="16" t="inlineStr">
        <is>
          <t>Enumerado</t>
        </is>
      </c>
      <c r="F299" s="16" t="inlineStr">
        <is>
          <t>Sí</t>
        </is>
      </c>
      <c r="G299" s="16" t="inlineStr">
        <is>
          <t>propio · eventual · de tercero</t>
        </is>
      </c>
      <c r="H299" s="16" t="inlineStr">
        <is>
          <t>No</t>
        </is>
      </c>
      <c r="I299" s="16" t="inlineStr">
        <is>
          <t>—</t>
        </is>
      </c>
      <c r="J299" s="16" t="inlineStr">
        <is>
          <t>Modelo</t>
        </is>
      </c>
      <c r="K299" s="16" t="inlineStr">
        <is>
          <t>propio</t>
        </is>
      </c>
      <c r="L299" s="16" t="inlineStr">
        <is>
          <t>MD-25.tipo</t>
        </is>
      </c>
      <c r="M299" s="10" t="inlineStr">
        <is>
          <t>Pendiente</t>
        </is>
      </c>
      <c r="N299" s="10" t="n"/>
    </row>
    <row r="300">
      <c r="A300" s="9" t="inlineStr">
        <is>
          <t>M-28</t>
        </is>
      </c>
      <c r="B300" s="9" t="inlineStr">
        <is>
          <t>Personal propio</t>
        </is>
      </c>
      <c r="C300" s="9" t="n">
        <v>4</v>
      </c>
      <c r="D300" s="8" t="inlineStr">
        <is>
          <t>puesto</t>
        </is>
      </c>
      <c r="E300" s="9" t="inlineStr">
        <is>
          <t>Ref. M-05</t>
        </is>
      </c>
      <c r="F300" s="9" t="inlineStr">
        <is>
          <t>Sí</t>
        </is>
      </c>
      <c r="G300" s="9" t="inlineStr">
        <is>
          <t>registro de tipo puesto</t>
        </is>
      </c>
      <c r="H300" s="9" t="inlineStr">
        <is>
          <t>No</t>
        </is>
      </c>
      <c r="I300" s="9" t="inlineStr">
        <is>
          <t>—</t>
        </is>
      </c>
      <c r="J300" s="9" t="inlineStr">
        <is>
          <t>Modelo</t>
        </is>
      </c>
      <c r="K300" s="9" t="inlineStr">
        <is>
          <t>propio</t>
        </is>
      </c>
      <c r="L300" s="9" t="inlineStr">
        <is>
          <t>MD-25.puesto</t>
        </is>
      </c>
      <c r="M300" s="10" t="inlineStr">
        <is>
          <t>Pendiente</t>
        </is>
      </c>
      <c r="N300" s="10" t="n"/>
    </row>
    <row r="301">
      <c r="A301" s="16" t="inlineStr">
        <is>
          <t>M-28</t>
        </is>
      </c>
      <c r="B301" s="16" t="inlineStr">
        <is>
          <t>Personal propio</t>
        </is>
      </c>
      <c r="C301" s="16" t="n">
        <v>5</v>
      </c>
      <c r="D301" s="15" t="inlineStr">
        <is>
          <t>planta</t>
        </is>
      </c>
      <c r="E301" s="16" t="inlineStr">
        <is>
          <t>Ref. M-09</t>
        </is>
      </c>
      <c r="F301" s="16" t="inlineStr">
        <is>
          <t>Sí</t>
        </is>
      </c>
      <c r="G301" s="16" t="inlineStr">
        <is>
          <t>—</t>
        </is>
      </c>
      <c r="H301" s="16" t="inlineStr">
        <is>
          <t>No</t>
        </is>
      </c>
      <c r="I301" s="16" t="inlineStr">
        <is>
          <t>—</t>
        </is>
      </c>
      <c r="J301" s="16" t="inlineStr">
        <is>
          <t>Modelo</t>
        </is>
      </c>
      <c r="K301" s="16" t="inlineStr">
        <is>
          <t>propio</t>
        </is>
      </c>
      <c r="L301" s="16" t="inlineStr">
        <is>
          <t>MD-25.planta</t>
        </is>
      </c>
      <c r="M301" s="10" t="inlineStr">
        <is>
          <t>Pendiente</t>
        </is>
      </c>
      <c r="N301" s="10" t="n"/>
    </row>
    <row r="302">
      <c r="A302" s="9" t="inlineStr">
        <is>
          <t>M-28</t>
        </is>
      </c>
      <c r="B302" s="9" t="inlineStr">
        <is>
          <t>Personal propio</t>
        </is>
      </c>
      <c r="C302" s="9" t="n">
        <v>6</v>
      </c>
      <c r="D302" s="8" t="inlineStr">
        <is>
          <t>estado</t>
        </is>
      </c>
      <c r="E302" s="9" t="inlineStr">
        <is>
          <t>Enumerado</t>
        </is>
      </c>
      <c r="F302" s="9" t="inlineStr">
        <is>
          <t>Sí</t>
        </is>
      </c>
      <c r="G302" s="9" t="inlineStr">
        <is>
          <t>activo · inactivo</t>
        </is>
      </c>
      <c r="H302" s="9" t="inlineStr">
        <is>
          <t>No</t>
        </is>
      </c>
      <c r="I302" s="9" t="inlineStr">
        <is>
          <t>—</t>
        </is>
      </c>
      <c r="J302" s="9" t="inlineStr">
        <is>
          <t>Modelo</t>
        </is>
      </c>
      <c r="K302" s="9" t="inlineStr">
        <is>
          <t>propio</t>
        </is>
      </c>
      <c r="L302" s="9" t="inlineStr">
        <is>
          <t>MD-25.estado</t>
        </is>
      </c>
      <c r="M302" s="10" t="inlineStr">
        <is>
          <t>Pendiente</t>
        </is>
      </c>
      <c r="N302" s="10" t="n"/>
    </row>
    <row r="303">
      <c r="A303" s="17" t="inlineStr">
        <is>
          <t>M-28</t>
        </is>
      </c>
      <c r="B303" s="17" t="inlineStr">
        <is>
          <t>Personal propio</t>
        </is>
      </c>
      <c r="C303" s="17" t="n">
        <v>7</v>
      </c>
      <c r="D303" s="18" t="inlineStr">
        <is>
          <t>habilitaciones ★</t>
        </is>
      </c>
      <c r="E303" s="17" t="inlineStr">
        <is>
          <t>Texto (120)</t>
        </is>
      </c>
      <c r="F303" s="17" t="inlineStr">
        <is>
          <t>No</t>
        </is>
      </c>
      <c r="G303" s="17" t="inlineStr">
        <is>
          <t>nombre → fecha</t>
        </is>
      </c>
      <c r="H303" s="17" t="inlineStr">
        <is>
          <t>No</t>
        </is>
      </c>
      <c r="I303" s="17" t="inlineStr">
        <is>
          <t>Habilitaciones con vencimiento (credencial, carnet)</t>
        </is>
      </c>
      <c r="J303" s="17" t="inlineStr">
        <is>
          <t>★ Simulador</t>
        </is>
      </c>
      <c r="K303" s="17" t="inlineStr">
        <is>
          <t>propio</t>
        </is>
      </c>
      <c r="L303" s="17" t="inlineStr">
        <is>
          <t>MD-25.habilitaciones</t>
        </is>
      </c>
      <c r="M303" s="10" t="inlineStr">
        <is>
          <t>Pendiente</t>
        </is>
      </c>
      <c r="N303" s="10" t="n"/>
    </row>
    <row r="304" ht="25" customHeight="1">
      <c r="A304" s="9" t="inlineStr">
        <is>
          <t>M-29</t>
        </is>
      </c>
      <c r="B304" s="9" t="inlineStr">
        <is>
          <t>Causas de demora</t>
        </is>
      </c>
      <c r="C304" s="9" t="n">
        <v>1</v>
      </c>
      <c r="D304" s="8" t="inlineStr">
        <is>
          <t>codigo</t>
        </is>
      </c>
      <c r="E304" s="9" t="inlineStr">
        <is>
          <t>Código (12)</t>
        </is>
      </c>
      <c r="F304" s="9" t="inlineStr">
        <is>
          <t>Sí</t>
        </is>
      </c>
      <c r="G304" s="9" t="inlineStr">
        <is>
          <t>—</t>
        </is>
      </c>
      <c r="H304" s="9" t="inlineStr">
        <is>
          <t>No</t>
        </is>
      </c>
      <c r="I304" s="9" t="inlineStr">
        <is>
          <t>—</t>
        </is>
      </c>
      <c r="J304" s="9" t="inlineStr">
        <is>
          <t>Modelo</t>
        </is>
      </c>
      <c r="K304" s="9" t="inlineStr">
        <is>
          <t>propio</t>
        </is>
      </c>
      <c r="L304" s="9" t="inlineStr">
        <is>
          <t>MD-26.codigo</t>
        </is>
      </c>
      <c r="M304" s="10" t="inlineStr">
        <is>
          <t>Pendiente</t>
        </is>
      </c>
      <c r="N304" s="10" t="n"/>
    </row>
    <row r="305">
      <c r="A305" s="16" t="inlineStr">
        <is>
          <t>M-29</t>
        </is>
      </c>
      <c r="B305" s="16" t="inlineStr">
        <is>
          <t>Causas de demora</t>
        </is>
      </c>
      <c r="C305" s="16" t="n">
        <v>2</v>
      </c>
      <c r="D305" s="15" t="inlineStr">
        <is>
          <t>nombre</t>
        </is>
      </c>
      <c r="E305" s="16" t="inlineStr">
        <is>
          <t>Texto (80)</t>
        </is>
      </c>
      <c r="F305" s="16" t="inlineStr">
        <is>
          <t>Sí</t>
        </is>
      </c>
      <c r="G305" s="16" t="inlineStr">
        <is>
          <t>—</t>
        </is>
      </c>
      <c r="H305" s="16" t="inlineStr">
        <is>
          <t>No</t>
        </is>
      </c>
      <c r="I305" s="16" t="inlineStr">
        <is>
          <t>—</t>
        </is>
      </c>
      <c r="J305" s="16" t="inlineStr">
        <is>
          <t>Modelo</t>
        </is>
      </c>
      <c r="K305" s="16" t="inlineStr">
        <is>
          <t>propio</t>
        </is>
      </c>
      <c r="L305" s="16" t="inlineStr">
        <is>
          <t>MD-26.nombre</t>
        </is>
      </c>
      <c r="M305" s="10" t="inlineStr">
        <is>
          <t>Pendiente</t>
        </is>
      </c>
      <c r="N305" s="10" t="n"/>
    </row>
    <row r="306">
      <c r="A306" s="9" t="inlineStr">
        <is>
          <t>M-29</t>
        </is>
      </c>
      <c r="B306" s="9" t="inlineStr">
        <is>
          <t>Causas de demora</t>
        </is>
      </c>
      <c r="C306" s="9" t="n">
        <v>3</v>
      </c>
      <c r="D306" s="8" t="inlineStr">
        <is>
          <t>categoria</t>
        </is>
      </c>
      <c r="E306" s="9" t="inlineStr">
        <is>
          <t>Enumerado</t>
        </is>
      </c>
      <c r="F306" s="9" t="inlineStr">
        <is>
          <t>Sí</t>
        </is>
      </c>
      <c r="G306" s="9" t="inlineStr">
        <is>
          <t>clima · buque · balanza · depósito · logística · documental / aduana · otros</t>
        </is>
      </c>
      <c r="H306" s="9" t="inlineStr">
        <is>
          <t>No</t>
        </is>
      </c>
      <c r="I306" s="9" t="inlineStr">
        <is>
          <t>—</t>
        </is>
      </c>
      <c r="J306" s="9" t="inlineStr">
        <is>
          <t>Modelo</t>
        </is>
      </c>
      <c r="K306" s="9" t="inlineStr">
        <is>
          <t>propio</t>
        </is>
      </c>
      <c r="L306" s="9" t="inlineStr">
        <is>
          <t>MD-26.categoria</t>
        </is>
      </c>
      <c r="M306" s="10" t="inlineStr">
        <is>
          <t>Pendiente</t>
        </is>
      </c>
      <c r="N306" s="10" t="n"/>
    </row>
    <row r="307">
      <c r="A307" s="16" t="inlineStr">
        <is>
          <t>M-29</t>
        </is>
      </c>
      <c r="B307" s="16" t="inlineStr">
        <is>
          <t>Causas de demora</t>
        </is>
      </c>
      <c r="C307" s="16" t="n">
        <v>4</v>
      </c>
      <c r="D307" s="15" t="inlineStr">
        <is>
          <t>imputable_a</t>
        </is>
      </c>
      <c r="E307" s="16" t="inlineStr">
        <is>
          <t>Enumerado</t>
        </is>
      </c>
      <c r="F307" s="16" t="inlineStr">
        <is>
          <t>Sí</t>
        </is>
      </c>
      <c r="G307" s="16" t="inlineStr">
        <is>
          <t>buque · TyS · cliente · tercero · fuerza mayor</t>
        </is>
      </c>
      <c r="H307" s="16" t="inlineStr">
        <is>
          <t>No</t>
        </is>
      </c>
      <c r="I307" s="16" t="inlineStr">
        <is>
          <t>—</t>
        </is>
      </c>
      <c r="J307" s="16" t="inlineStr">
        <is>
          <t>Modelo</t>
        </is>
      </c>
      <c r="K307" s="16" t="inlineStr">
        <is>
          <t>propio</t>
        </is>
      </c>
      <c r="L307" s="16" t="inlineStr">
        <is>
          <t>MD-26.imputable_a</t>
        </is>
      </c>
      <c r="M307" s="10" t="inlineStr">
        <is>
          <t>Pendiente</t>
        </is>
      </c>
      <c r="N307" s="10" t="n"/>
    </row>
    <row r="308">
      <c r="A308" s="9" t="inlineStr">
        <is>
          <t>M-29</t>
        </is>
      </c>
      <c r="B308" s="9" t="inlineStr">
        <is>
          <t>Causas de demora</t>
        </is>
      </c>
      <c r="C308" s="9" t="n">
        <v>5</v>
      </c>
      <c r="D308" s="8" t="inlineStr">
        <is>
          <t>afecta_ritmo_contractual</t>
        </is>
      </c>
      <c r="E308" s="9" t="inlineStr">
        <is>
          <t>Lógico</t>
        </is>
      </c>
      <c r="F308" s="9" t="inlineStr">
        <is>
          <t>Sí</t>
        </is>
      </c>
      <c r="G308" s="9" t="inlineStr">
        <is>
          <t>V / F</t>
        </is>
      </c>
      <c r="H308" s="9" t="inlineStr">
        <is>
          <t>No</t>
        </is>
      </c>
      <c r="I308" s="9" t="inlineStr">
        <is>
          <t>—</t>
        </is>
      </c>
      <c r="J308" s="9" t="inlineStr">
        <is>
          <t>Modelo</t>
        </is>
      </c>
      <c r="K308" s="9" t="inlineStr">
        <is>
          <t>propio</t>
        </is>
      </c>
      <c r="L308" s="9" t="inlineStr">
        <is>
          <t>MD-26.afecta_ritmo_contractual</t>
        </is>
      </c>
      <c r="M308" s="10" t="inlineStr">
        <is>
          <t>Pendiente</t>
        </is>
      </c>
      <c r="N308" s="10" t="n"/>
    </row>
    <row r="309">
      <c r="A309" s="16" t="inlineStr">
        <is>
          <t>M-29</t>
        </is>
      </c>
      <c r="B309" s="16" t="inlineStr">
        <is>
          <t>Causas de demora</t>
        </is>
      </c>
      <c r="C309" s="16" t="n">
        <v>6</v>
      </c>
      <c r="D309" s="15" t="inlineStr">
        <is>
          <t>estado</t>
        </is>
      </c>
      <c r="E309" s="16" t="inlineStr">
        <is>
          <t>Enumerado</t>
        </is>
      </c>
      <c r="F309" s="16" t="inlineStr">
        <is>
          <t>Sí</t>
        </is>
      </c>
      <c r="G309" s="16" t="inlineStr">
        <is>
          <t>activa · inactiva</t>
        </is>
      </c>
      <c r="H309" s="16" t="inlineStr">
        <is>
          <t>No</t>
        </is>
      </c>
      <c r="I309" s="16" t="inlineStr">
        <is>
          <t>—</t>
        </is>
      </c>
      <c r="J309" s="16" t="inlineStr">
        <is>
          <t>Modelo</t>
        </is>
      </c>
      <c r="K309" s="16" t="inlineStr">
        <is>
          <t>propio</t>
        </is>
      </c>
      <c r="L309" s="16" t="inlineStr">
        <is>
          <t>MD-26.estado</t>
        </is>
      </c>
      <c r="M309" s="10" t="inlineStr">
        <is>
          <t>Pendiente</t>
        </is>
      </c>
      <c r="N309" s="10" t="n"/>
    </row>
    <row r="310">
      <c r="A310" s="9" t="inlineStr">
        <is>
          <t>M-30</t>
        </is>
      </c>
      <c r="B310" s="9" t="inlineStr">
        <is>
          <t>Insumos y repuestos</t>
        </is>
      </c>
      <c r="C310" s="9" t="n">
        <v>1</v>
      </c>
      <c r="D310" s="8" t="inlineStr">
        <is>
          <t>codigo</t>
        </is>
      </c>
      <c r="E310" s="9" t="inlineStr">
        <is>
          <t>Código (10)</t>
        </is>
      </c>
      <c r="F310" s="9" t="inlineStr">
        <is>
          <t>Sí</t>
        </is>
      </c>
      <c r="G310" s="9" t="inlineStr">
        <is>
          <t>—</t>
        </is>
      </c>
      <c r="H310" s="9" t="inlineStr">
        <is>
          <t>No</t>
        </is>
      </c>
      <c r="I310" s="9" t="inlineStr">
        <is>
          <t>—</t>
        </is>
      </c>
      <c r="J310" s="9" t="inlineStr">
        <is>
          <t>Modelo</t>
        </is>
      </c>
      <c r="K310" s="9" t="inlineStr">
        <is>
          <t>propio</t>
        </is>
      </c>
      <c r="L310" s="9" t="inlineStr">
        <is>
          <t>MD-29.codigo</t>
        </is>
      </c>
      <c r="M310" s="10" t="inlineStr">
        <is>
          <t>Pendiente</t>
        </is>
      </c>
      <c r="N310" s="10" t="n"/>
    </row>
    <row r="311">
      <c r="A311" s="16" t="inlineStr">
        <is>
          <t>M-30</t>
        </is>
      </c>
      <c r="B311" s="16" t="inlineStr">
        <is>
          <t>Insumos y repuestos</t>
        </is>
      </c>
      <c r="C311" s="16" t="n">
        <v>2</v>
      </c>
      <c r="D311" s="15" t="inlineStr">
        <is>
          <t>nombre</t>
        </is>
      </c>
      <c r="E311" s="16" t="inlineStr">
        <is>
          <t>Texto (120)</t>
        </is>
      </c>
      <c r="F311" s="16" t="inlineStr">
        <is>
          <t>Sí</t>
        </is>
      </c>
      <c r="G311" s="16" t="inlineStr">
        <is>
          <t>—</t>
        </is>
      </c>
      <c r="H311" s="16" t="inlineStr">
        <is>
          <t>No</t>
        </is>
      </c>
      <c r="I311" s="16" t="inlineStr">
        <is>
          <t>—</t>
        </is>
      </c>
      <c r="J311" s="16" t="inlineStr">
        <is>
          <t>Modelo</t>
        </is>
      </c>
      <c r="K311" s="16" t="inlineStr">
        <is>
          <t>propio</t>
        </is>
      </c>
      <c r="L311" s="16" t="inlineStr">
        <is>
          <t>MD-29.nombre</t>
        </is>
      </c>
      <c r="M311" s="10" t="inlineStr">
        <is>
          <t>Pendiente</t>
        </is>
      </c>
      <c r="N311" s="10" t="n"/>
    </row>
    <row r="312">
      <c r="A312" s="9" t="inlineStr">
        <is>
          <t>M-30</t>
        </is>
      </c>
      <c r="B312" s="9" t="inlineStr">
        <is>
          <t>Insumos y repuestos</t>
        </is>
      </c>
      <c r="C312" s="9" t="n">
        <v>3</v>
      </c>
      <c r="D312" s="8" t="inlineStr">
        <is>
          <t>criticidad</t>
        </is>
      </c>
      <c r="E312" s="9" t="inlineStr">
        <is>
          <t>Enumerado</t>
        </is>
      </c>
      <c r="F312" s="9" t="inlineStr">
        <is>
          <t>Sí</t>
        </is>
      </c>
      <c r="G312" s="9" t="inlineStr">
        <is>
          <t>crítico · normal</t>
        </is>
      </c>
      <c r="H312" s="9" t="inlineStr">
        <is>
          <t>No</t>
        </is>
      </c>
      <c r="I312" s="9" t="inlineStr">
        <is>
          <t>—</t>
        </is>
      </c>
      <c r="J312" s="9" t="inlineStr">
        <is>
          <t>Modelo</t>
        </is>
      </c>
      <c r="K312" s="9" t="inlineStr">
        <is>
          <t>propio</t>
        </is>
      </c>
      <c r="L312" s="9" t="inlineStr">
        <is>
          <t>MD-29.criticidad</t>
        </is>
      </c>
      <c r="M312" s="10" t="inlineStr">
        <is>
          <t>Pendiente</t>
        </is>
      </c>
      <c r="N312" s="10" t="n"/>
    </row>
    <row r="313">
      <c r="A313" s="16" t="inlineStr">
        <is>
          <t>M-30</t>
        </is>
      </c>
      <c r="B313" s="16" t="inlineStr">
        <is>
          <t>Insumos y repuestos</t>
        </is>
      </c>
      <c r="C313" s="16" t="n">
        <v>4</v>
      </c>
      <c r="D313" s="15" t="inlineStr">
        <is>
          <t>stock_minimo</t>
        </is>
      </c>
      <c r="E313" s="16" t="inlineStr">
        <is>
          <t>Decimal (10,2)</t>
        </is>
      </c>
      <c r="F313" s="16" t="inlineStr">
        <is>
          <t>Sí</t>
        </is>
      </c>
      <c r="G313" s="16" t="inlineStr">
        <is>
          <t>≥ 0</t>
        </is>
      </c>
      <c r="H313" s="16" t="inlineStr">
        <is>
          <t>Sí</t>
        </is>
      </c>
      <c r="I313" s="16" t="inlineStr">
        <is>
          <t>—</t>
        </is>
      </c>
      <c r="J313" s="16" t="inlineStr">
        <is>
          <t>Modelo</t>
        </is>
      </c>
      <c r="K313" s="16" t="inlineStr">
        <is>
          <t>propio</t>
        </is>
      </c>
      <c r="L313" s="16" t="inlineStr">
        <is>
          <t>MD-29.stock_minimo</t>
        </is>
      </c>
      <c r="M313" s="10" t="inlineStr">
        <is>
          <t>Pendiente</t>
        </is>
      </c>
      <c r="N313" s="10" t="n"/>
    </row>
    <row r="314">
      <c r="A314" s="12" t="inlineStr">
        <is>
          <t>M-30</t>
        </is>
      </c>
      <c r="B314" s="12" t="inlineStr">
        <is>
          <t>Insumos y repuestos</t>
        </is>
      </c>
      <c r="C314" s="12" t="n">
        <v>5</v>
      </c>
      <c r="D314" s="11" t="inlineStr">
        <is>
          <t>unidad_medida</t>
        </is>
      </c>
      <c r="E314" s="12" t="inlineStr">
        <is>
          <t>Enumerado</t>
        </is>
      </c>
      <c r="F314" s="12" t="inlineStr">
        <is>
          <t>Sí</t>
        </is>
      </c>
      <c r="G314" s="12" t="inlineStr">
        <is>
          <t>unidad · metro · litro · kg · juego</t>
        </is>
      </c>
      <c r="H314" s="12" t="inlineStr">
        <is>
          <t>No</t>
        </is>
      </c>
      <c r="I314" s="12" t="inlineStr">
        <is>
          <t>—</t>
        </is>
      </c>
      <c r="J314" s="12" t="inlineStr">
        <is>
          <t>Modelo</t>
        </is>
      </c>
      <c r="K314" s="12" t="inlineStr">
        <is>
          <t>propio</t>
        </is>
      </c>
      <c r="L314" s="12" t="inlineStr">
        <is>
          <t>— (nuevo)</t>
        </is>
      </c>
      <c r="M314" s="10" t="inlineStr">
        <is>
          <t>Pendiente</t>
        </is>
      </c>
      <c r="N314" s="10" t="n"/>
    </row>
    <row r="315">
      <c r="A315" s="12" t="inlineStr">
        <is>
          <t>M-30</t>
        </is>
      </c>
      <c r="B315" s="12" t="inlineStr">
        <is>
          <t>Insumos y repuestos</t>
        </is>
      </c>
      <c r="C315" s="12" t="n">
        <v>6</v>
      </c>
      <c r="D315" s="11" t="inlineStr">
        <is>
          <t>presentacion</t>
        </is>
      </c>
      <c r="E315" s="12" t="inlineStr">
        <is>
          <t>Texto (40)</t>
        </is>
      </c>
      <c r="F315" s="12" t="inlineStr">
        <is>
          <t>No</t>
        </is>
      </c>
      <c r="G315" s="12" t="inlineStr">
        <is>
          <t>—</t>
        </is>
      </c>
      <c r="H315" s="12" t="inlineStr">
        <is>
          <t>No</t>
        </is>
      </c>
      <c r="I315" s="12" t="inlineStr">
        <is>
          <t>—</t>
        </is>
      </c>
      <c r="J315" s="12" t="inlineStr">
        <is>
          <t>Modelo</t>
        </is>
      </c>
      <c r="K315" s="12" t="inlineStr">
        <is>
          <t>propio</t>
        </is>
      </c>
      <c r="L315" s="12" t="inlineStr">
        <is>
          <t>— (nuevo)</t>
        </is>
      </c>
      <c r="M315" s="10" t="inlineStr">
        <is>
          <t>Pendiente</t>
        </is>
      </c>
      <c r="N315" s="10" t="n"/>
    </row>
    <row r="316">
      <c r="A316" s="9" t="inlineStr">
        <is>
          <t>M-30</t>
        </is>
      </c>
      <c r="B316" s="9" t="inlineStr">
        <is>
          <t>Insumos y repuestos</t>
        </is>
      </c>
      <c r="C316" s="9" t="n">
        <v>7</v>
      </c>
      <c r="D316" s="8" t="inlineStr">
        <is>
          <t>stock_actual</t>
        </is>
      </c>
      <c r="E316" s="9" t="inlineStr">
        <is>
          <t>Decimal (10,2)</t>
        </is>
      </c>
      <c r="F316" s="9" t="inlineStr">
        <is>
          <t>Sí</t>
        </is>
      </c>
      <c r="G316" s="9" t="inlineStr">
        <is>
          <t>≥ 0</t>
        </is>
      </c>
      <c r="H316" s="9" t="inlineStr">
        <is>
          <t>No</t>
        </is>
      </c>
      <c r="I316" s="9" t="inlineStr">
        <is>
          <t>Se mueve por vale</t>
        </is>
      </c>
      <c r="J316" s="9" t="inlineStr">
        <is>
          <t>Modelo</t>
        </is>
      </c>
      <c r="K316" s="9" t="inlineStr">
        <is>
          <t>calculado</t>
        </is>
      </c>
      <c r="L316" s="9" t="inlineStr">
        <is>
          <t>MD-29.stock_actual</t>
        </is>
      </c>
      <c r="M316" s="10" t="inlineStr">
        <is>
          <t>Pendiente</t>
        </is>
      </c>
      <c r="N316" s="10" t="n"/>
    </row>
    <row r="317">
      <c r="A317" s="16" t="inlineStr">
        <is>
          <t>M-30</t>
        </is>
      </c>
      <c r="B317" s="16" t="inlineStr">
        <is>
          <t>Insumos y repuestos</t>
        </is>
      </c>
      <c r="C317" s="16" t="n">
        <v>8</v>
      </c>
      <c r="D317" s="15" t="inlineStr">
        <is>
          <t>ubicacion</t>
        </is>
      </c>
      <c r="E317" s="16" t="inlineStr">
        <is>
          <t>Texto (30)</t>
        </is>
      </c>
      <c r="F317" s="16" t="inlineStr">
        <is>
          <t>No</t>
        </is>
      </c>
      <c r="G317" s="16" t="inlineStr">
        <is>
          <t>—</t>
        </is>
      </c>
      <c r="H317" s="16" t="inlineStr">
        <is>
          <t>No</t>
        </is>
      </c>
      <c r="I317" s="16" t="inlineStr">
        <is>
          <t>—</t>
        </is>
      </c>
      <c r="J317" s="16" t="inlineStr">
        <is>
          <t>Modelo</t>
        </is>
      </c>
      <c r="K317" s="16" t="inlineStr">
        <is>
          <t>propio</t>
        </is>
      </c>
      <c r="L317" s="16" t="inlineStr">
        <is>
          <t>MD-29.ubicacion_pañol</t>
        </is>
      </c>
      <c r="M317" s="10" t="inlineStr">
        <is>
          <t>Pendiente</t>
        </is>
      </c>
      <c r="N317" s="10" t="n"/>
    </row>
    <row r="318">
      <c r="A318" s="12" t="inlineStr">
        <is>
          <t>M-30</t>
        </is>
      </c>
      <c r="B318" s="12" t="inlineStr">
        <is>
          <t>Insumos y repuestos</t>
        </is>
      </c>
      <c r="C318" s="12" t="n">
        <v>9</v>
      </c>
      <c r="D318" s="11" t="inlineStr">
        <is>
          <t>sku</t>
        </is>
      </c>
      <c r="E318" s="12" t="inlineStr">
        <is>
          <t>Código (30)</t>
        </is>
      </c>
      <c r="F318" s="12" t="inlineStr">
        <is>
          <t>No</t>
        </is>
      </c>
      <c r="G318" s="12" t="inlineStr">
        <is>
          <t>—</t>
        </is>
      </c>
      <c r="H318" s="12" t="inlineStr">
        <is>
          <t>No</t>
        </is>
      </c>
      <c r="I318" s="12" t="inlineStr">
        <is>
          <t>—</t>
        </is>
      </c>
      <c r="J318" s="12" t="inlineStr">
        <is>
          <t>Modelo</t>
        </is>
      </c>
      <c r="K318" s="12" t="inlineStr">
        <is>
          <t>propio</t>
        </is>
      </c>
      <c r="L318" s="12" t="inlineStr">
        <is>
          <t>— (nuevo)</t>
        </is>
      </c>
      <c r="M318" s="10" t="inlineStr">
        <is>
          <t>Pendiente</t>
        </is>
      </c>
      <c r="N318" s="10" t="n"/>
    </row>
    <row r="319">
      <c r="A319" s="12" t="inlineStr">
        <is>
          <t>M-30</t>
        </is>
      </c>
      <c r="B319" s="12" t="inlineStr">
        <is>
          <t>Insumos y repuestos</t>
        </is>
      </c>
      <c r="C319" s="12" t="n">
        <v>10</v>
      </c>
      <c r="D319" s="11" t="inlineStr">
        <is>
          <t>stockeable</t>
        </is>
      </c>
      <c r="E319" s="12" t="inlineStr">
        <is>
          <t>Lógico</t>
        </is>
      </c>
      <c r="F319" s="12" t="inlineStr">
        <is>
          <t>Sí</t>
        </is>
      </c>
      <c r="G319" s="12" t="inlineStr">
        <is>
          <t>V / F</t>
        </is>
      </c>
      <c r="H319" s="12" t="inlineStr">
        <is>
          <t>No</t>
        </is>
      </c>
      <c r="I319" s="12" t="inlineStr">
        <is>
          <t>—</t>
        </is>
      </c>
      <c r="J319" s="12" t="inlineStr">
        <is>
          <t>Modelo</t>
        </is>
      </c>
      <c r="K319" s="12" t="inlineStr">
        <is>
          <t>propio</t>
        </is>
      </c>
      <c r="L319" s="12" t="inlineStr">
        <is>
          <t>— (nuevo)</t>
        </is>
      </c>
      <c r="M319" s="10" t="inlineStr">
        <is>
          <t>Pendiente</t>
        </is>
      </c>
      <c r="N319" s="10" t="n"/>
    </row>
    <row r="320">
      <c r="A320" s="9" t="inlineStr">
        <is>
          <t>M-30</t>
        </is>
      </c>
      <c r="B320" s="9" t="inlineStr">
        <is>
          <t>Insumos y repuestos</t>
        </is>
      </c>
      <c r="C320" s="9" t="n">
        <v>11</v>
      </c>
      <c r="D320" s="8" t="inlineStr">
        <is>
          <t>costo_unitario_referencia</t>
        </is>
      </c>
      <c r="E320" s="9" t="inlineStr">
        <is>
          <t>Decimal (12,4)</t>
        </is>
      </c>
      <c r="F320" s="9" t="inlineStr">
        <is>
          <t>Sí</t>
        </is>
      </c>
      <c r="G320" s="9" t="inlineStr">
        <is>
          <t>&gt; 0</t>
        </is>
      </c>
      <c r="H320" s="9" t="inlineStr">
        <is>
          <t>No</t>
        </is>
      </c>
      <c r="I320" s="9" t="inlineStr">
        <is>
          <t>—</t>
        </is>
      </c>
      <c r="J320" s="9" t="inlineStr">
        <is>
          <t>Modelo</t>
        </is>
      </c>
      <c r="K320" s="9" t="inlineStr">
        <is>
          <t>propio</t>
        </is>
      </c>
      <c r="L320" s="9" t="inlineStr">
        <is>
          <t>MD-29.costo_unitario_referencia</t>
        </is>
      </c>
      <c r="M320" s="10" t="inlineStr">
        <is>
          <t>Pendiente</t>
        </is>
      </c>
      <c r="N320" s="10" t="n"/>
    </row>
    <row r="321">
      <c r="A321" s="12" t="inlineStr">
        <is>
          <t>M-30</t>
        </is>
      </c>
      <c r="B321" s="12" t="inlineStr">
        <is>
          <t>Insumos y repuestos</t>
        </is>
      </c>
      <c r="C321" s="12" t="n">
        <v>12</v>
      </c>
      <c r="D321" s="11" t="inlineStr">
        <is>
          <t>planta</t>
        </is>
      </c>
      <c r="E321" s="12" t="inlineStr">
        <is>
          <t>Ref. M-09</t>
        </is>
      </c>
      <c r="F321" s="12" t="inlineStr">
        <is>
          <t>Sí</t>
        </is>
      </c>
      <c r="G321" s="12" t="inlineStr">
        <is>
          <t>—</t>
        </is>
      </c>
      <c r="H321" s="12" t="inlineStr">
        <is>
          <t>No</t>
        </is>
      </c>
      <c r="I321" s="12" t="inlineStr">
        <is>
          <t>—</t>
        </is>
      </c>
      <c r="J321" s="12" t="inlineStr">
        <is>
          <t>Modelo</t>
        </is>
      </c>
      <c r="K321" s="12" t="inlineStr">
        <is>
          <t>propio</t>
        </is>
      </c>
      <c r="L321" s="12" t="inlineStr">
        <is>
          <t>— (nuevo)</t>
        </is>
      </c>
      <c r="M321" s="10" t="inlineStr">
        <is>
          <t>Pendiente</t>
        </is>
      </c>
      <c r="N321" s="10" t="n"/>
    </row>
    <row r="322">
      <c r="A322" s="9" t="inlineStr">
        <is>
          <t>M-30</t>
        </is>
      </c>
      <c r="B322" s="9" t="inlineStr">
        <is>
          <t>Insumos y repuestos</t>
        </is>
      </c>
      <c r="C322" s="9" t="n">
        <v>14</v>
      </c>
      <c r="D322" s="8" t="inlineStr">
        <is>
          <t>estado</t>
        </is>
      </c>
      <c r="E322" s="9" t="inlineStr">
        <is>
          <t>Enumerado</t>
        </is>
      </c>
      <c r="F322" s="9" t="inlineStr">
        <is>
          <t>Sí</t>
        </is>
      </c>
      <c r="G322" s="9" t="inlineStr">
        <is>
          <t>activo · discontinuado</t>
        </is>
      </c>
      <c r="H322" s="9" t="inlineStr">
        <is>
          <t>No</t>
        </is>
      </c>
      <c r="I322" s="9" t="inlineStr">
        <is>
          <t>—</t>
        </is>
      </c>
      <c r="J322" s="9" t="inlineStr">
        <is>
          <t>Modelo</t>
        </is>
      </c>
      <c r="K322" s="9" t="inlineStr">
        <is>
          <t>propio</t>
        </is>
      </c>
      <c r="L322" s="9" t="inlineStr">
        <is>
          <t>MD-29.estado</t>
        </is>
      </c>
      <c r="M322" s="10" t="inlineStr">
        <is>
          <t>Pendiente</t>
        </is>
      </c>
      <c r="N322" s="10" t="n"/>
    </row>
    <row r="323">
      <c r="A323" s="12" t="inlineStr">
        <is>
          <t>M-30</t>
        </is>
      </c>
      <c r="B323" s="12" t="inlineStr">
        <is>
          <t>Insumos y repuestos</t>
        </is>
      </c>
      <c r="C323" s="12" t="n">
        <v>13</v>
      </c>
      <c r="D323" s="11" t="inlineStr">
        <is>
          <t>metodo_seguro</t>
        </is>
      </c>
      <c r="E323" s="12" t="inlineStr">
        <is>
          <t>Ref. M-34 (múltiple)</t>
        </is>
      </c>
      <c r="F323" s="12" t="inlineStr">
        <is>
          <t>No</t>
        </is>
      </c>
      <c r="G323" s="12" t="inlineStr">
        <is>
          <t>uno o más MS vigentes</t>
        </is>
      </c>
      <c r="H323" s="12" t="inlineStr">
        <is>
          <t>No</t>
        </is>
      </c>
      <c r="I323" s="12" t="inlineStr">
        <is>
          <t>Opcional: FDS o instructivo de manipulación del insumo</t>
        </is>
      </c>
      <c r="J323" s="12" t="inlineStr">
        <is>
          <t>Revisión 15/09/2026</t>
        </is>
      </c>
      <c r="K323" s="12" t="inlineStr">
        <is>
          <t>propio</t>
        </is>
      </c>
      <c r="L323" s="12" t="inlineStr">
        <is>
          <t>— (nuevo)</t>
        </is>
      </c>
      <c r="M323" s="10" t="inlineStr">
        <is>
          <t>Pendiente</t>
        </is>
      </c>
      <c r="N323" s="10" t="n"/>
    </row>
    <row r="324">
      <c r="A324" s="12" t="inlineStr">
        <is>
          <t>M-31</t>
        </is>
      </c>
      <c r="B324" s="12" t="inlineStr">
        <is>
          <t>Cupos de ingreso</t>
        </is>
      </c>
      <c r="C324" s="12" t="n">
        <v>1</v>
      </c>
      <c r="D324" s="11" t="inlineStr">
        <is>
          <t>codigo</t>
        </is>
      </c>
      <c r="E324" s="12" t="inlineStr">
        <is>
          <t>Código (12)</t>
        </is>
      </c>
      <c r="F324" s="12" t="inlineStr">
        <is>
          <t>Sí</t>
        </is>
      </c>
      <c r="G324" s="12" t="inlineStr">
        <is>
          <t>—</t>
        </is>
      </c>
      <c r="H324" s="12" t="inlineStr">
        <is>
          <t>No</t>
        </is>
      </c>
      <c r="I324" s="12" t="inlineStr">
        <is>
          <t>—</t>
        </is>
      </c>
      <c r="J324" s="12" t="inlineStr">
        <is>
          <t>Revisión 15/09/2026</t>
        </is>
      </c>
      <c r="K324" s="12" t="inlineStr">
        <is>
          <t>propio</t>
        </is>
      </c>
      <c r="L324" s="12" t="inlineStr">
        <is>
          <t>— (nuevo)</t>
        </is>
      </c>
      <c r="M324" s="10" t="inlineStr">
        <is>
          <t>Pendiente</t>
        </is>
      </c>
      <c r="N324" s="10" t="n"/>
    </row>
    <row r="325">
      <c r="A325" s="12" t="inlineStr">
        <is>
          <t>M-31</t>
        </is>
      </c>
      <c r="B325" s="12" t="inlineStr">
        <is>
          <t>Cupos de ingreso</t>
        </is>
      </c>
      <c r="C325" s="12" t="n">
        <v>2</v>
      </c>
      <c r="D325" s="11" t="inlineStr">
        <is>
          <t>fecha</t>
        </is>
      </c>
      <c r="E325" s="12" t="inlineStr">
        <is>
          <t>Fecha</t>
        </is>
      </c>
      <c r="F325" s="12" t="inlineStr">
        <is>
          <t>Sí</t>
        </is>
      </c>
      <c r="G325" s="12" t="inlineStr">
        <is>
          <t>día del cupo</t>
        </is>
      </c>
      <c r="H325" s="12" t="inlineStr">
        <is>
          <t>No</t>
        </is>
      </c>
      <c r="I325" s="12" t="inlineStr">
        <is>
          <t>—</t>
        </is>
      </c>
      <c r="J325" s="12" t="inlineStr">
        <is>
          <t>Revisión 15/09/2026</t>
        </is>
      </c>
      <c r="K325" s="12" t="inlineStr">
        <is>
          <t>propio</t>
        </is>
      </c>
      <c r="L325" s="12" t="inlineStr">
        <is>
          <t>— (nuevo)</t>
        </is>
      </c>
      <c r="M325" s="10" t="inlineStr">
        <is>
          <t>Pendiente</t>
        </is>
      </c>
      <c r="N325" s="10" t="n"/>
    </row>
    <row r="326">
      <c r="A326" s="12" t="inlineStr">
        <is>
          <t>M-31</t>
        </is>
      </c>
      <c r="B326" s="12" t="inlineStr">
        <is>
          <t>Cupos de ingreso</t>
        </is>
      </c>
      <c r="C326" s="12" t="n">
        <v>3</v>
      </c>
      <c r="D326" s="11" t="inlineStr">
        <is>
          <t>planta</t>
        </is>
      </c>
      <c r="E326" s="12" t="inlineStr">
        <is>
          <t>Ref. M-09</t>
        </is>
      </c>
      <c r="F326" s="12" t="inlineStr">
        <is>
          <t>Sí</t>
        </is>
      </c>
      <c r="G326" s="12" t="inlineStr">
        <is>
          <t>—</t>
        </is>
      </c>
      <c r="H326" s="12" t="inlineStr">
        <is>
          <t>No</t>
        </is>
      </c>
      <c r="I326" s="12" t="inlineStr">
        <is>
          <t>planta de ingreso</t>
        </is>
      </c>
      <c r="J326" s="12" t="inlineStr">
        <is>
          <t>Revisión 15/09/2026</t>
        </is>
      </c>
      <c r="K326" s="12" t="inlineStr">
        <is>
          <t>propio</t>
        </is>
      </c>
      <c r="L326" s="12" t="inlineStr">
        <is>
          <t>— (nuevo)</t>
        </is>
      </c>
      <c r="M326" s="10" t="inlineStr">
        <is>
          <t>Pendiente</t>
        </is>
      </c>
      <c r="N326" s="10" t="n"/>
    </row>
    <row r="327">
      <c r="A327" s="12" t="inlineStr">
        <is>
          <t>M-31</t>
        </is>
      </c>
      <c r="B327" s="12" t="inlineStr">
        <is>
          <t>Cupos de ingreso</t>
        </is>
      </c>
      <c r="C327" s="12" t="n">
        <v>4</v>
      </c>
      <c r="D327" s="11" t="inlineStr">
        <is>
          <t>cliente</t>
        </is>
      </c>
      <c r="E327" s="12" t="inlineStr">
        <is>
          <t>Ref. M-06</t>
        </is>
      </c>
      <c r="F327" s="12" t="inlineStr">
        <is>
          <t>Sí</t>
        </is>
      </c>
      <c r="G327" s="12" t="inlineStr">
        <is>
          <t>—</t>
        </is>
      </c>
      <c r="H327" s="12" t="inlineStr">
        <is>
          <t>No</t>
        </is>
      </c>
      <c r="I327" s="12" t="inlineStr">
        <is>
          <t>—</t>
        </is>
      </c>
      <c r="J327" s="12" t="inlineStr">
        <is>
          <t>Revisión 15/09/2026</t>
        </is>
      </c>
      <c r="K327" s="12" t="inlineStr">
        <is>
          <t>propio</t>
        </is>
      </c>
      <c r="L327" s="12" t="inlineStr">
        <is>
          <t>— (nuevo)</t>
        </is>
      </c>
      <c r="M327" s="10" t="inlineStr">
        <is>
          <t>Pendiente</t>
        </is>
      </c>
      <c r="N327" s="10" t="n"/>
    </row>
    <row r="328">
      <c r="A328" s="12" t="inlineStr">
        <is>
          <t>M-31</t>
        </is>
      </c>
      <c r="B328" s="12" t="inlineStr">
        <is>
          <t>Cupos de ingreso</t>
        </is>
      </c>
      <c r="C328" s="12" t="n">
        <v>5</v>
      </c>
      <c r="D328" s="11" t="inlineStr">
        <is>
          <t>producto</t>
        </is>
      </c>
      <c r="E328" s="12" t="inlineStr">
        <is>
          <t>Ref. M-07</t>
        </is>
      </c>
      <c r="F328" s="12" t="inlineStr">
        <is>
          <t>Sí</t>
        </is>
      </c>
      <c r="G328" s="12" t="inlineStr">
        <is>
          <t>—</t>
        </is>
      </c>
      <c r="H328" s="12" t="inlineStr">
        <is>
          <t>No</t>
        </is>
      </c>
      <c r="I328" s="12" t="inlineStr">
        <is>
          <t>—</t>
        </is>
      </c>
      <c r="J328" s="12" t="inlineStr">
        <is>
          <t>Revisión 15/09/2026</t>
        </is>
      </c>
      <c r="K328" s="12" t="inlineStr">
        <is>
          <t>propio</t>
        </is>
      </c>
      <c r="L328" s="12" t="inlineStr">
        <is>
          <t>— (nuevo)</t>
        </is>
      </c>
      <c r="M328" s="10" t="inlineStr">
        <is>
          <t>Pendiente</t>
        </is>
      </c>
      <c r="N328" s="10" t="n"/>
    </row>
    <row r="329">
      <c r="A329" s="12" t="inlineStr">
        <is>
          <t>M-31</t>
        </is>
      </c>
      <c r="B329" s="12" t="inlineStr">
        <is>
          <t>Cupos de ingreso</t>
        </is>
      </c>
      <c r="C329" s="12" t="n">
        <v>6</v>
      </c>
      <c r="D329" s="11" t="inlineStr">
        <is>
          <t>contrato</t>
        </is>
      </c>
      <c r="E329" s="12" t="inlineStr">
        <is>
          <t>Ref. M-16</t>
        </is>
      </c>
      <c r="F329" s="12" t="inlineStr">
        <is>
          <t>No</t>
        </is>
      </c>
      <c r="G329" s="12" t="inlineStr">
        <is>
          <t>—</t>
        </is>
      </c>
      <c r="H329" s="12" t="inlineStr">
        <is>
          <t>No</t>
        </is>
      </c>
      <c r="I329" s="12" t="inlineStr">
        <is>
          <t>si el cliente tiene contrato, el cupo descuenta del tope_cupos_diario</t>
        </is>
      </c>
      <c r="J329" s="12" t="inlineStr">
        <is>
          <t>Revisión 15/09/2026</t>
        </is>
      </c>
      <c r="K329" s="12" t="inlineStr">
        <is>
          <t>propio</t>
        </is>
      </c>
      <c r="L329" s="12" t="inlineStr">
        <is>
          <t>— (nuevo)</t>
        </is>
      </c>
      <c r="M329" s="10" t="inlineStr">
        <is>
          <t>Pendiente</t>
        </is>
      </c>
      <c r="N329" s="10" t="n"/>
    </row>
    <row r="330">
      <c r="A330" s="12" t="inlineStr">
        <is>
          <t>M-31</t>
        </is>
      </c>
      <c r="B330" s="12" t="inlineStr">
        <is>
          <t>Cupos de ingreso</t>
        </is>
      </c>
      <c r="C330" s="12" t="n">
        <v>7</v>
      </c>
      <c r="D330" s="11" t="inlineStr">
        <is>
          <t>camiones</t>
        </is>
      </c>
      <c r="E330" s="12" t="inlineStr">
        <is>
          <t>Entero</t>
        </is>
      </c>
      <c r="F330" s="12" t="inlineStr">
        <is>
          <t>Sí</t>
        </is>
      </c>
      <c r="G330" s="12" t="inlineStr">
        <is>
          <t>&gt; 0</t>
        </is>
      </c>
      <c r="H330" s="12" t="inlineStr">
        <is>
          <t>Sí</t>
        </is>
      </c>
      <c r="I330" s="12" t="inlineStr">
        <is>
          <t>cupo de camiones autorizados en el día</t>
        </is>
      </c>
      <c r="J330" s="12" t="inlineStr">
        <is>
          <t>Revisión 15/09/2026</t>
        </is>
      </c>
      <c r="K330" s="12" t="inlineStr">
        <is>
          <t>propio</t>
        </is>
      </c>
      <c r="L330" s="12" t="inlineStr">
        <is>
          <t>— (nuevo)</t>
        </is>
      </c>
      <c r="M330" s="10" t="inlineStr">
        <is>
          <t>Pendiente</t>
        </is>
      </c>
      <c r="N330" s="10" t="n"/>
    </row>
    <row r="331">
      <c r="A331" s="12" t="inlineStr">
        <is>
          <t>M-31</t>
        </is>
      </c>
      <c r="B331" s="12" t="inlineStr">
        <is>
          <t>Cupos de ingreso</t>
        </is>
      </c>
      <c r="C331" s="12" t="n">
        <v>8</v>
      </c>
      <c r="D331" s="11" t="inlineStr">
        <is>
          <t>toneladas</t>
        </is>
      </c>
      <c r="E331" s="12" t="inlineStr">
        <is>
          <t>Decimal (tn)</t>
        </is>
      </c>
      <c r="F331" s="12" t="inlineStr">
        <is>
          <t>Sí</t>
        </is>
      </c>
      <c r="G331" s="12" t="inlineStr">
        <is>
          <t>&gt; 0</t>
        </is>
      </c>
      <c r="H331" s="12" t="inlineStr">
        <is>
          <t>No</t>
        </is>
      </c>
      <c r="I331" s="12" t="inlineStr">
        <is>
          <t>toneladas previstas del cupo</t>
        </is>
      </c>
      <c r="J331" s="12" t="inlineStr">
        <is>
          <t>Revisión 15/09/2026</t>
        </is>
      </c>
      <c r="K331" s="12" t="inlineStr">
        <is>
          <t>propio</t>
        </is>
      </c>
      <c r="L331" s="12" t="inlineStr">
        <is>
          <t>— (nuevo)</t>
        </is>
      </c>
      <c r="M331" s="10" t="inlineStr">
        <is>
          <t>Pendiente</t>
        </is>
      </c>
      <c r="N331" s="10" t="n"/>
    </row>
    <row r="332">
      <c r="A332" s="12" t="inlineStr">
        <is>
          <t>M-31</t>
        </is>
      </c>
      <c r="B332" s="12" t="inlineStr">
        <is>
          <t>Cupos de ingreso</t>
        </is>
      </c>
      <c r="C332" s="12" t="n">
        <v>9</v>
      </c>
      <c r="D332" s="11" t="inlineStr">
        <is>
          <t>turno</t>
        </is>
      </c>
      <c r="E332" s="12" t="inlineStr">
        <is>
          <t>Enumerado</t>
        </is>
      </c>
      <c r="F332" s="12" t="inlineStr">
        <is>
          <t>No</t>
        </is>
      </c>
      <c r="G332" s="12" t="inlineStr">
        <is>
          <t>T1 · T2 · T3 · todo el día</t>
        </is>
      </c>
      <c r="H332" s="12" t="inlineStr">
        <is>
          <t>No</t>
        </is>
      </c>
      <c r="I332" s="12" t="inlineStr">
        <is>
          <t>Tramo de Tráfico — Portería: Tramo de Tráfico — Portería: turno del régimen (33) en que se reciben los camiones</t>
        </is>
      </c>
      <c r="J332" s="12" t="inlineStr">
        <is>
          <t>Revisión 15/09/2026</t>
        </is>
      </c>
      <c r="K332" s="12" t="inlineStr">
        <is>
          <t>propio</t>
        </is>
      </c>
      <c r="L332" s="12" t="inlineStr">
        <is>
          <t>— (nuevo)</t>
        </is>
      </c>
      <c r="M332" s="10" t="inlineStr">
        <is>
          <t>Pendiente</t>
        </is>
      </c>
      <c r="N332" s="10" t="n"/>
    </row>
    <row r="333">
      <c r="A333" s="12" t="inlineStr">
        <is>
          <t>M-31</t>
        </is>
      </c>
      <c r="B333" s="12" t="inlineStr">
        <is>
          <t>Cupos de ingreso</t>
        </is>
      </c>
      <c r="C333" s="12" t="n">
        <v>10</v>
      </c>
      <c r="D333" s="11" t="inlineStr">
        <is>
          <t>tipo_movimiento</t>
        </is>
      </c>
      <c r="E333" s="12" t="inlineStr">
        <is>
          <t>Enumerado</t>
        </is>
      </c>
      <c r="F333" s="12" t="inlineStr">
        <is>
          <t>Sí</t>
        </is>
      </c>
      <c r="G333" s="12" t="inlineStr">
        <is>
          <t>ingreso · egreso</t>
        </is>
      </c>
      <c r="H333" s="12" t="inlineStr">
        <is>
          <t>No</t>
        </is>
      </c>
      <c r="I333" s="12" t="inlineStr">
        <is>
          <t>ingreso = recepción por camión · egreso = despacho</t>
        </is>
      </c>
      <c r="J333" s="12" t="inlineStr">
        <is>
          <t>Revisión 15/09/2026</t>
        </is>
      </c>
      <c r="K333" s="12" t="inlineStr">
        <is>
          <t>propio</t>
        </is>
      </c>
      <c r="L333" s="12" t="inlineStr">
        <is>
          <t>— (nuevo)</t>
        </is>
      </c>
      <c r="M333" s="10" t="inlineStr">
        <is>
          <t>Pendiente</t>
        </is>
      </c>
      <c r="N333" s="10" t="n"/>
    </row>
    <row r="334">
      <c r="A334" s="12" t="inlineStr">
        <is>
          <t>M-31</t>
        </is>
      </c>
      <c r="B334" s="12" t="inlineStr">
        <is>
          <t>Cupos de ingreso</t>
        </is>
      </c>
      <c r="C334" s="12" t="n">
        <v>11</v>
      </c>
      <c r="D334" s="11" t="inlineStr">
        <is>
          <t>porton</t>
        </is>
      </c>
      <c r="E334" s="12" t="inlineStr">
        <is>
          <t>Enumerado</t>
        </is>
      </c>
      <c r="F334" s="12" t="inlineStr">
        <is>
          <t>No</t>
        </is>
      </c>
      <c r="G334" s="12" t="inlineStr">
        <is>
          <t>P1 · P2 · PS</t>
        </is>
      </c>
      <c r="H334" s="12" t="inlineStr">
        <is>
          <t>No</t>
        </is>
      </c>
      <c r="I334" s="12" t="inlineStr">
        <is>
          <t>Tramo de Tráfico — Portería: Tramo de Tráfico — Portería: portón de ingreso asignado al cupo</t>
        </is>
      </c>
      <c r="J334" s="12" t="inlineStr">
        <is>
          <t>Revisión 15/09/2026</t>
        </is>
      </c>
      <c r="K334" s="12" t="inlineStr">
        <is>
          <t>propio</t>
        </is>
      </c>
      <c r="L334" s="12" t="inlineStr">
        <is>
          <t>— (nuevo)</t>
        </is>
      </c>
      <c r="M334" s="10" t="inlineStr">
        <is>
          <t>Pendiente</t>
        </is>
      </c>
      <c r="N334" s="10" t="n"/>
    </row>
    <row r="335">
      <c r="A335" s="12" t="inlineStr">
        <is>
          <t>M-31</t>
        </is>
      </c>
      <c r="B335" s="12" t="inlineStr">
        <is>
          <t>Cupos de ingreso</t>
        </is>
      </c>
      <c r="C335" s="12" t="n">
        <v>12</v>
      </c>
      <c r="D335" s="11" t="inlineStr">
        <is>
          <t>confirmacion_planta</t>
        </is>
      </c>
      <c r="E335" s="12" t="inlineStr">
        <is>
          <t>Enumerado</t>
        </is>
      </c>
      <c r="F335" s="12" t="inlineStr">
        <is>
          <t>No</t>
        </is>
      </c>
      <c r="G335" s="12" t="inlineStr">
        <is>
          <t>pendiente · confirmado · rechazado</t>
        </is>
      </c>
      <c r="H335" s="12" t="inlineStr">
        <is>
          <t>No</t>
        </is>
      </c>
      <c r="I335" s="12" t="inlineStr">
        <is>
          <t>Tramo de Tráfico — Portería: Tramo de Tráfico — Portería: confirma que la planta puede recibir los camiones del cupo en el turno</t>
        </is>
      </c>
      <c r="J335" s="12" t="inlineStr">
        <is>
          <t>Revisión 15/09/2026</t>
        </is>
      </c>
      <c r="K335" s="12" t="inlineStr">
        <is>
          <t>propio</t>
        </is>
      </c>
      <c r="L335" s="12" t="inlineStr">
        <is>
          <t>— (nuevo)</t>
        </is>
      </c>
      <c r="M335" s="10" t="inlineStr">
        <is>
          <t>Pendiente</t>
        </is>
      </c>
      <c r="N335" s="10" t="n"/>
    </row>
    <row r="336">
      <c r="A336" s="12" t="inlineStr">
        <is>
          <t>M-31</t>
        </is>
      </c>
      <c r="B336" s="12" t="inlineStr">
        <is>
          <t>Cupos de ingreso</t>
        </is>
      </c>
      <c r="C336" s="12" t="n">
        <v>13</v>
      </c>
      <c r="D336" s="11" t="inlineStr">
        <is>
          <t>estado</t>
        </is>
      </c>
      <c r="E336" s="12" t="inlineStr">
        <is>
          <t>Enumerado</t>
        </is>
      </c>
      <c r="F336" s="12" t="inlineStr">
        <is>
          <t>Sí</t>
        </is>
      </c>
      <c r="G336" s="12" t="inlineStr">
        <is>
          <t>solicitado · confirmado · en curso · cumplido · cancelado</t>
        </is>
      </c>
      <c r="H336" s="12" t="inlineStr">
        <is>
          <t>No</t>
        </is>
      </c>
      <c r="I336" s="12" t="inlineStr">
        <is>
          <t>—</t>
        </is>
      </c>
      <c r="J336" s="12" t="inlineStr">
        <is>
          <t>Revisión 15/09/2026</t>
        </is>
      </c>
      <c r="K336" s="12" t="inlineStr">
        <is>
          <t>propio</t>
        </is>
      </c>
      <c r="L336" s="12" t="inlineStr">
        <is>
          <t>— (nuevo)</t>
        </is>
      </c>
      <c r="M336" s="10" t="inlineStr">
        <is>
          <t>Pendiente</t>
        </is>
      </c>
      <c r="N336" s="10" t="n"/>
    </row>
    <row r="337">
      <c r="A337" s="12" t="inlineStr">
        <is>
          <t>M-31</t>
        </is>
      </c>
      <c r="B337" s="12" t="inlineStr">
        <is>
          <t>Cupos de ingreso</t>
        </is>
      </c>
      <c r="C337" s="12" t="n">
        <v>14</v>
      </c>
      <c r="D337" s="11" t="inlineStr">
        <is>
          <t>operativo_vinculado</t>
        </is>
      </c>
      <c r="E337" s="12" t="inlineStr">
        <is>
          <t>Texto (14)</t>
        </is>
      </c>
      <c r="F337" s="12" t="inlineStr">
        <is>
          <t>No</t>
        </is>
      </c>
      <c r="G337" s="12" t="inlineStr">
        <is>
          <t>—</t>
        </is>
      </c>
      <c r="H337" s="12" t="inlineStr">
        <is>
          <t>No</t>
        </is>
      </c>
      <c r="I337" s="12" t="inlineStr">
        <is>
          <t>lo completa el sistema al designar el servicio</t>
        </is>
      </c>
      <c r="J337" s="12" t="inlineStr">
        <is>
          <t>Revisión 15/09/2026</t>
        </is>
      </c>
      <c r="K337" s="12" t="inlineStr">
        <is>
          <t>calculado</t>
        </is>
      </c>
      <c r="L337" s="12" t="inlineStr">
        <is>
          <t>— (nuevo)</t>
        </is>
      </c>
      <c r="M337" s="10" t="inlineStr">
        <is>
          <t>Pendiente</t>
        </is>
      </c>
      <c r="N337" s="10" t="n"/>
    </row>
    <row r="338">
      <c r="A338" s="12" t="inlineStr">
        <is>
          <t>M-31</t>
        </is>
      </c>
      <c r="B338" s="12" t="inlineStr">
        <is>
          <t>Cupos de ingreso</t>
        </is>
      </c>
      <c r="C338" s="12" t="n">
        <v>15</v>
      </c>
      <c r="D338" s="11" t="inlineStr">
        <is>
          <t>observaciones</t>
        </is>
      </c>
      <c r="E338" s="12" t="inlineStr">
        <is>
          <t>Texto (200)</t>
        </is>
      </c>
      <c r="F338" s="12" t="inlineStr">
        <is>
          <t>No</t>
        </is>
      </c>
      <c r="G338" s="12" t="inlineStr">
        <is>
          <t>—</t>
        </is>
      </c>
      <c r="H338" s="12" t="inlineStr">
        <is>
          <t>No</t>
        </is>
      </c>
      <c r="I338" s="12" t="inlineStr">
        <is>
          <t>—</t>
        </is>
      </c>
      <c r="J338" s="12" t="inlineStr">
        <is>
          <t>Revisión 15/09/2026</t>
        </is>
      </c>
      <c r="K338" s="12" t="inlineStr">
        <is>
          <t>propio</t>
        </is>
      </c>
      <c r="L338" s="12" t="inlineStr">
        <is>
          <t>— (nuevo)</t>
        </is>
      </c>
      <c r="M338" s="10" t="inlineStr">
        <is>
          <t>Pendiente</t>
        </is>
      </c>
      <c r="N338" s="10" t="n"/>
    </row>
    <row r="339">
      <c r="A339" s="12" t="inlineStr">
        <is>
          <t>M-32</t>
        </is>
      </c>
      <c r="B339" s="12" t="inlineStr">
        <is>
          <t>Arribos ferroviarios</t>
        </is>
      </c>
      <c r="C339" s="12" t="n">
        <v>1</v>
      </c>
      <c r="D339" s="11" t="inlineStr">
        <is>
          <t>codigo</t>
        </is>
      </c>
      <c r="E339" s="12" t="inlineStr">
        <is>
          <t>Código (14)</t>
        </is>
      </c>
      <c r="F339" s="12" t="inlineStr">
        <is>
          <t>Sí</t>
        </is>
      </c>
      <c r="G339" s="12" t="inlineStr">
        <is>
          <t>—</t>
        </is>
      </c>
      <c r="H339" s="12" t="inlineStr">
        <is>
          <t>No</t>
        </is>
      </c>
      <c r="I339" s="12" t="inlineStr">
        <is>
          <t>—</t>
        </is>
      </c>
      <c r="J339" s="12" t="inlineStr">
        <is>
          <t>Revisión 15/09/2026</t>
        </is>
      </c>
      <c r="K339" s="12" t="inlineStr">
        <is>
          <t>propio</t>
        </is>
      </c>
      <c r="L339" s="12" t="inlineStr">
        <is>
          <t>— (nuevo)</t>
        </is>
      </c>
      <c r="M339" s="10" t="inlineStr">
        <is>
          <t>Pendiente</t>
        </is>
      </c>
      <c r="N339" s="10" t="n"/>
    </row>
    <row r="340">
      <c r="A340" s="12" t="inlineStr">
        <is>
          <t>M-32</t>
        </is>
      </c>
      <c r="B340" s="12" t="inlineStr">
        <is>
          <t>Arribos ferroviarios</t>
        </is>
      </c>
      <c r="C340" s="12" t="n">
        <v>2</v>
      </c>
      <c r="D340" s="11" t="inlineStr">
        <is>
          <t>fecha_prevista</t>
        </is>
      </c>
      <c r="E340" s="12" t="inlineStr">
        <is>
          <t>Fecha y hora</t>
        </is>
      </c>
      <c r="F340" s="12" t="inlineStr">
        <is>
          <t>Sí</t>
        </is>
      </c>
      <c r="G340" s="12" t="inlineStr">
        <is>
          <t>ETA del tren</t>
        </is>
      </c>
      <c r="H340" s="12" t="inlineStr">
        <is>
          <t>No</t>
        </is>
      </c>
      <c r="I340" s="12" t="inlineStr">
        <is>
          <t>Tramo comercial</t>
        </is>
      </c>
      <c r="J340" s="12" t="inlineStr">
        <is>
          <t>Revisión 15/09/2026</t>
        </is>
      </c>
      <c r="K340" s="12" t="inlineStr">
        <is>
          <t>propio</t>
        </is>
      </c>
      <c r="L340" s="12" t="inlineStr">
        <is>
          <t>— (nuevo)</t>
        </is>
      </c>
      <c r="M340" s="10" t="inlineStr">
        <is>
          <t>Pendiente</t>
        </is>
      </c>
      <c r="N340" s="10" t="n"/>
    </row>
    <row r="341">
      <c r="A341" s="12" t="inlineStr">
        <is>
          <t>M-32</t>
        </is>
      </c>
      <c r="B341" s="12" t="inlineStr">
        <is>
          <t>Arribos ferroviarios</t>
        </is>
      </c>
      <c r="C341" s="12" t="n">
        <v>3</v>
      </c>
      <c r="D341" s="11" t="inlineStr">
        <is>
          <t>planta</t>
        </is>
      </c>
      <c r="E341" s="12" t="inlineStr">
        <is>
          <t>Ref. M-09</t>
        </is>
      </c>
      <c r="F341" s="12" t="inlineStr">
        <is>
          <t>Sí</t>
        </is>
      </c>
      <c r="G341" s="12" t="inlineStr">
        <is>
          <t>planta con playa de vías</t>
        </is>
      </c>
      <c r="H341" s="12" t="inlineStr">
        <is>
          <t>No</t>
        </is>
      </c>
      <c r="I341" s="12" t="inlineStr">
        <is>
          <t>Tramo comercial</t>
        </is>
      </c>
      <c r="J341" s="12" t="inlineStr">
        <is>
          <t>Revisión 15/09/2026</t>
        </is>
      </c>
      <c r="K341" s="12" t="inlineStr">
        <is>
          <t>propio</t>
        </is>
      </c>
      <c r="L341" s="12" t="inlineStr">
        <is>
          <t>— (nuevo)</t>
        </is>
      </c>
      <c r="M341" s="10" t="inlineStr">
        <is>
          <t>Pendiente</t>
        </is>
      </c>
      <c r="N341" s="10" t="n"/>
    </row>
    <row r="342">
      <c r="A342" s="12" t="inlineStr">
        <is>
          <t>M-32</t>
        </is>
      </c>
      <c r="B342" s="12" t="inlineStr">
        <is>
          <t>Arribos ferroviarios</t>
        </is>
      </c>
      <c r="C342" s="12" t="n">
        <v>4</v>
      </c>
      <c r="D342" s="11" t="inlineStr">
        <is>
          <t>operador_ferroviario</t>
        </is>
      </c>
      <c r="E342" s="12" t="inlineStr">
        <is>
          <t>Ref. M-06</t>
        </is>
      </c>
      <c r="F342" s="12" t="inlineStr">
        <is>
          <t>Sí</t>
        </is>
      </c>
      <c r="G342" s="12" t="inlineStr">
        <is>
          <t>proveedor de rubro ferrocarril</t>
        </is>
      </c>
      <c r="H342" s="12" t="inlineStr">
        <is>
          <t>No</t>
        </is>
      </c>
      <c r="I342" s="12" t="inlineStr">
        <is>
          <t>Tramo comercial</t>
        </is>
      </c>
      <c r="J342" s="12" t="inlineStr">
        <is>
          <t>Revisión 15/09/2026</t>
        </is>
      </c>
      <c r="K342" s="12" t="inlineStr">
        <is>
          <t>propio</t>
        </is>
      </c>
      <c r="L342" s="12" t="inlineStr">
        <is>
          <t>— (nuevo)</t>
        </is>
      </c>
      <c r="M342" s="10" t="inlineStr">
        <is>
          <t>Pendiente</t>
        </is>
      </c>
      <c r="N342" s="10" t="n"/>
    </row>
    <row r="343">
      <c r="A343" s="12" t="inlineStr">
        <is>
          <t>M-32</t>
        </is>
      </c>
      <c r="B343" s="12" t="inlineStr">
        <is>
          <t>Arribos ferroviarios</t>
        </is>
      </c>
      <c r="C343" s="12" t="n">
        <v>5</v>
      </c>
      <c r="D343" s="11" t="inlineStr">
        <is>
          <t>cliente</t>
        </is>
      </c>
      <c r="E343" s="12" t="inlineStr">
        <is>
          <t>Ref. M-06</t>
        </is>
      </c>
      <c r="F343" s="12" t="inlineStr">
        <is>
          <t>Sí</t>
        </is>
      </c>
      <c r="G343" s="12" t="inlineStr">
        <is>
          <t>—</t>
        </is>
      </c>
      <c r="H343" s="12" t="inlineStr">
        <is>
          <t>No</t>
        </is>
      </c>
      <c r="I343" s="12" t="inlineStr">
        <is>
          <t>Tramo comercial</t>
        </is>
      </c>
      <c r="J343" s="12" t="inlineStr">
        <is>
          <t>Revisión 15/09/2026</t>
        </is>
      </c>
      <c r="K343" s="12" t="inlineStr">
        <is>
          <t>propio</t>
        </is>
      </c>
      <c r="L343" s="12" t="inlineStr">
        <is>
          <t>— (nuevo)</t>
        </is>
      </c>
      <c r="M343" s="10" t="inlineStr">
        <is>
          <t>Pendiente</t>
        </is>
      </c>
      <c r="N343" s="10" t="n"/>
    </row>
    <row r="344">
      <c r="A344" s="12" t="inlineStr">
        <is>
          <t>M-32</t>
        </is>
      </c>
      <c r="B344" s="12" t="inlineStr">
        <is>
          <t>Arribos ferroviarios</t>
        </is>
      </c>
      <c r="C344" s="12" t="n">
        <v>6</v>
      </c>
      <c r="D344" s="11" t="inlineStr">
        <is>
          <t>producto</t>
        </is>
      </c>
      <c r="E344" s="12" t="inlineStr">
        <is>
          <t>Ref. M-07</t>
        </is>
      </c>
      <c r="F344" s="12" t="inlineStr">
        <is>
          <t>Sí</t>
        </is>
      </c>
      <c r="G344" s="12" t="inlineStr">
        <is>
          <t>—</t>
        </is>
      </c>
      <c r="H344" s="12" t="inlineStr">
        <is>
          <t>No</t>
        </is>
      </c>
      <c r="I344" s="12" t="inlineStr">
        <is>
          <t>Tramo comercial</t>
        </is>
      </c>
      <c r="J344" s="12" t="inlineStr">
        <is>
          <t>Revisión 15/09/2026</t>
        </is>
      </c>
      <c r="K344" s="12" t="inlineStr">
        <is>
          <t>propio</t>
        </is>
      </c>
      <c r="L344" s="12" t="inlineStr">
        <is>
          <t>— (nuevo)</t>
        </is>
      </c>
      <c r="M344" s="10" t="inlineStr">
        <is>
          <t>Pendiente</t>
        </is>
      </c>
      <c r="N344" s="10" t="n"/>
    </row>
    <row r="345">
      <c r="A345" s="12" t="inlineStr">
        <is>
          <t>M-32</t>
        </is>
      </c>
      <c r="B345" s="12" t="inlineStr">
        <is>
          <t>Arribos ferroviarios</t>
        </is>
      </c>
      <c r="C345" s="12" t="n">
        <v>7</v>
      </c>
      <c r="D345" s="11" t="inlineStr">
        <is>
          <t>contrato</t>
        </is>
      </c>
      <c r="E345" s="12" t="inlineStr">
        <is>
          <t>Ref. M-16</t>
        </is>
      </c>
      <c r="F345" s="12" t="inlineStr">
        <is>
          <t>No</t>
        </is>
      </c>
      <c r="G345" s="12" t="inlineStr">
        <is>
          <t>—</t>
        </is>
      </c>
      <c r="H345" s="12" t="inlineStr">
        <is>
          <t>No</t>
        </is>
      </c>
      <c r="I345" s="12" t="inlineStr">
        <is>
          <t>Tramo comercial · si el cliente tiene contrato, el arribo se controla contra su volumen comprometido</t>
        </is>
      </c>
      <c r="J345" s="12" t="inlineStr">
        <is>
          <t>Revisión 15/09/2026</t>
        </is>
      </c>
      <c r="K345" s="12" t="inlineStr">
        <is>
          <t>propio</t>
        </is>
      </c>
      <c r="L345" s="12" t="inlineStr">
        <is>
          <t>— (nuevo)</t>
        </is>
      </c>
      <c r="M345" s="10" t="inlineStr">
        <is>
          <t>Pendiente</t>
        </is>
      </c>
      <c r="N345" s="10" t="n"/>
    </row>
    <row r="346">
      <c r="A346" s="12" t="inlineStr">
        <is>
          <t>M-32</t>
        </is>
      </c>
      <c r="B346" s="12" t="inlineStr">
        <is>
          <t>Arribos ferroviarios</t>
        </is>
      </c>
      <c r="C346" s="12" t="n">
        <v>8</v>
      </c>
      <c r="D346" s="11" t="inlineStr">
        <is>
          <t>tipo_movimiento</t>
        </is>
      </c>
      <c r="E346" s="12" t="inlineStr">
        <is>
          <t>Enumerado</t>
        </is>
      </c>
      <c r="F346" s="12" t="inlineStr">
        <is>
          <t>Sí</t>
        </is>
      </c>
      <c r="G346" s="12" t="inlineStr">
        <is>
          <t>ingreso · egreso</t>
        </is>
      </c>
      <c r="H346" s="12" t="inlineStr">
        <is>
          <t>No</t>
        </is>
      </c>
      <c r="I346" s="12" t="inlineStr">
        <is>
          <t>ingreso = descarga de vagones a depósito · egreso = carga de vagones desde depósito</t>
        </is>
      </c>
      <c r="J346" s="12" t="inlineStr">
        <is>
          <t>Revisión 15/09/2026</t>
        </is>
      </c>
      <c r="K346" s="12" t="inlineStr">
        <is>
          <t>propio</t>
        </is>
      </c>
      <c r="L346" s="12" t="inlineStr">
        <is>
          <t>— (nuevo)</t>
        </is>
      </c>
      <c r="M346" s="10" t="inlineStr">
        <is>
          <t>Pendiente</t>
        </is>
      </c>
      <c r="N346" s="10" t="n"/>
    </row>
    <row r="347">
      <c r="A347" s="12" t="inlineStr">
        <is>
          <t>M-32</t>
        </is>
      </c>
      <c r="B347" s="12" t="inlineStr">
        <is>
          <t>Arribos ferroviarios</t>
        </is>
      </c>
      <c r="C347" s="12" t="n">
        <v>9</v>
      </c>
      <c r="D347" s="11" t="inlineStr">
        <is>
          <t>vagones</t>
        </is>
      </c>
      <c r="E347" s="12" t="inlineStr">
        <is>
          <t>Entero</t>
        </is>
      </c>
      <c r="F347" s="12" t="inlineStr">
        <is>
          <t>Sí</t>
        </is>
      </c>
      <c r="G347" s="12" t="inlineStr">
        <is>
          <t>&gt; 0</t>
        </is>
      </c>
      <c r="H347" s="12" t="inlineStr">
        <is>
          <t>No</t>
        </is>
      </c>
      <c r="I347" s="12" t="inlineStr">
        <is>
          <t>Tramo comercial</t>
        </is>
      </c>
      <c r="J347" s="12" t="inlineStr">
        <is>
          <t>Revisión 15/09/2026</t>
        </is>
      </c>
      <c r="K347" s="12" t="inlineStr">
        <is>
          <t>propio</t>
        </is>
      </c>
      <c r="L347" s="12" t="inlineStr">
        <is>
          <t>— (nuevo)</t>
        </is>
      </c>
      <c r="M347" s="10" t="inlineStr">
        <is>
          <t>Pendiente</t>
        </is>
      </c>
      <c r="N347" s="10" t="n"/>
    </row>
    <row r="348">
      <c r="A348" s="12" t="inlineStr">
        <is>
          <t>M-32</t>
        </is>
      </c>
      <c r="B348" s="12" t="inlineStr">
        <is>
          <t>Arribos ferroviarios</t>
        </is>
      </c>
      <c r="C348" s="12" t="n">
        <v>10</v>
      </c>
      <c r="D348" s="11" t="inlineStr">
        <is>
          <t>toneladas</t>
        </is>
      </c>
      <c r="E348" s="12" t="inlineStr">
        <is>
          <t>Decimal (tn)</t>
        </is>
      </c>
      <c r="F348" s="12" t="inlineStr">
        <is>
          <t>Sí</t>
        </is>
      </c>
      <c r="G348" s="12" t="inlineStr">
        <is>
          <t>&gt; 0</t>
        </is>
      </c>
      <c r="H348" s="12" t="inlineStr">
        <is>
          <t>No</t>
        </is>
      </c>
      <c r="I348" s="12" t="inlineStr">
        <is>
          <t>Tramo comercial</t>
        </is>
      </c>
      <c r="J348" s="12" t="inlineStr">
        <is>
          <t>Revisión 15/09/2026</t>
        </is>
      </c>
      <c r="K348" s="12" t="inlineStr">
        <is>
          <t>propio</t>
        </is>
      </c>
      <c r="L348" s="12" t="inlineStr">
        <is>
          <t>— (nuevo)</t>
        </is>
      </c>
      <c r="M348" s="10" t="inlineStr">
        <is>
          <t>Pendiente</t>
        </is>
      </c>
      <c r="N348" s="10" t="n"/>
    </row>
    <row r="349">
      <c r="A349" s="12" t="inlineStr">
        <is>
          <t>M-32</t>
        </is>
      </c>
      <c r="B349" s="12" t="inlineStr">
        <is>
          <t>Arribos ferroviarios</t>
        </is>
      </c>
      <c r="C349" s="12" t="n">
        <v>11</v>
      </c>
      <c r="D349" s="11" t="inlineStr">
        <is>
          <t>formacion</t>
        </is>
      </c>
      <c r="E349" s="12" t="inlineStr">
        <is>
          <t>Texto (40)</t>
        </is>
      </c>
      <c r="F349" s="12" t="inlineStr">
        <is>
          <t>No</t>
        </is>
      </c>
      <c r="G349" s="12" t="inlineStr">
        <is>
          <t>identificación del tren / formación</t>
        </is>
      </c>
      <c r="H349" s="12" t="inlineStr">
        <is>
          <t>No</t>
        </is>
      </c>
      <c r="I349" s="12" t="inlineStr">
        <is>
          <t>Tramo operativo (Logística)</t>
        </is>
      </c>
      <c r="J349" s="12" t="inlineStr">
        <is>
          <t>Revisión 15/09/2026</t>
        </is>
      </c>
      <c r="K349" s="12" t="inlineStr">
        <is>
          <t>propio</t>
        </is>
      </c>
      <c r="L349" s="12" t="inlineStr">
        <is>
          <t>— (nuevo)</t>
        </is>
      </c>
      <c r="M349" s="10" t="inlineStr">
        <is>
          <t>Pendiente</t>
        </is>
      </c>
      <c r="N349" s="10" t="n"/>
    </row>
    <row r="350">
      <c r="A350" s="12" t="inlineStr">
        <is>
          <t>M-32</t>
        </is>
      </c>
      <c r="B350" s="12" t="inlineStr">
        <is>
          <t>Arribos ferroviarios</t>
        </is>
      </c>
      <c r="C350" s="12" t="n">
        <v>12</v>
      </c>
      <c r="D350" s="11" t="inlineStr">
        <is>
          <t>playa_desvio</t>
        </is>
      </c>
      <c r="E350" s="12" t="inlineStr">
        <is>
          <t>Texto (60)</t>
        </is>
      </c>
      <c r="F350" s="12" t="inlineStr">
        <is>
          <t>No</t>
        </is>
      </c>
      <c r="G350" s="12" t="inlineStr">
        <is>
          <t>playa de vías o desvío asignado</t>
        </is>
      </c>
      <c r="H350" s="12" t="inlineStr">
        <is>
          <t>No</t>
        </is>
      </c>
      <c r="I350" s="12" t="inlineStr">
        <is>
          <t>Tramo operativo (Logística)</t>
        </is>
      </c>
      <c r="J350" s="12" t="inlineStr">
        <is>
          <t>Revisión 15/09/2026</t>
        </is>
      </c>
      <c r="K350" s="12" t="inlineStr">
        <is>
          <t>propio</t>
        </is>
      </c>
      <c r="L350" s="12" t="inlineStr">
        <is>
          <t>— (nuevo)</t>
        </is>
      </c>
      <c r="M350" s="10" t="inlineStr">
        <is>
          <t>Pendiente</t>
        </is>
      </c>
      <c r="N350" s="10" t="n"/>
    </row>
    <row r="351">
      <c r="A351" s="12" t="inlineStr">
        <is>
          <t>M-32</t>
        </is>
      </c>
      <c r="B351" s="12" t="inlineStr">
        <is>
          <t>Arribos ferroviarios</t>
        </is>
      </c>
      <c r="C351" s="12" t="n">
        <v>13</v>
      </c>
      <c r="D351" s="11" t="inlineStr">
        <is>
          <t>ventana_desde</t>
        </is>
      </c>
      <c r="E351" s="12" t="inlineStr">
        <is>
          <t>Fecha y hora</t>
        </is>
      </c>
      <c r="F351" s="12" t="inlineStr">
        <is>
          <t>No</t>
        </is>
      </c>
      <c r="G351" s="12" t="inlineStr">
        <is>
          <t>—</t>
        </is>
      </c>
      <c r="H351" s="12" t="inlineStr">
        <is>
          <t>No</t>
        </is>
      </c>
      <c r="I351" s="12" t="inlineStr">
        <is>
          <t>Tramo operativo (Logística): inicio de la ventana de descarga / carga de vagones</t>
        </is>
      </c>
      <c r="J351" s="12" t="inlineStr">
        <is>
          <t>Revisión 15/09/2026</t>
        </is>
      </c>
      <c r="K351" s="12" t="inlineStr">
        <is>
          <t>propio</t>
        </is>
      </c>
      <c r="L351" s="12" t="inlineStr">
        <is>
          <t>— (nuevo)</t>
        </is>
      </c>
      <c r="M351" s="10" t="inlineStr">
        <is>
          <t>Pendiente</t>
        </is>
      </c>
      <c r="N351" s="10" t="n"/>
    </row>
    <row r="352">
      <c r="A352" s="12" t="inlineStr">
        <is>
          <t>M-32</t>
        </is>
      </c>
      <c r="B352" s="12" t="inlineStr">
        <is>
          <t>Arribos ferroviarios</t>
        </is>
      </c>
      <c r="C352" s="12" t="n">
        <v>14</v>
      </c>
      <c r="D352" s="11" t="inlineStr">
        <is>
          <t>ventana_hasta</t>
        </is>
      </c>
      <c r="E352" s="12" t="inlineStr">
        <is>
          <t>Fecha y hora</t>
        </is>
      </c>
      <c r="F352" s="12" t="inlineStr">
        <is>
          <t>No</t>
        </is>
      </c>
      <c r="G352" s="12" t="inlineStr">
        <is>
          <t>—</t>
        </is>
      </c>
      <c r="H352" s="12" t="inlineStr">
        <is>
          <t>No</t>
        </is>
      </c>
      <c r="I352" s="12" t="inlineStr">
        <is>
          <t>Tramo operativo (Logística)</t>
        </is>
      </c>
      <c r="J352" s="12" t="inlineStr">
        <is>
          <t>Revisión 15/09/2026</t>
        </is>
      </c>
      <c r="K352" s="12" t="inlineStr">
        <is>
          <t>propio</t>
        </is>
      </c>
      <c r="L352" s="12" t="inlineStr">
        <is>
          <t>— (nuevo)</t>
        </is>
      </c>
      <c r="M352" s="10" t="inlineStr">
        <is>
          <t>Pendiente</t>
        </is>
      </c>
      <c r="N352" s="10" t="n"/>
    </row>
    <row r="353">
      <c r="A353" s="12" t="inlineStr">
        <is>
          <t>M-32</t>
        </is>
      </c>
      <c r="B353" s="12" t="inlineStr">
        <is>
          <t>Arribos ferroviarios</t>
        </is>
      </c>
      <c r="C353" s="12" t="n">
        <v>15</v>
      </c>
      <c r="D353" s="11" t="inlineStr">
        <is>
          <t>estado</t>
        </is>
      </c>
      <c r="E353" s="12" t="inlineStr">
        <is>
          <t>Enumerado</t>
        </is>
      </c>
      <c r="F353" s="12" t="inlineStr">
        <is>
          <t>Sí</t>
        </is>
      </c>
      <c r="G353" s="12" t="inlineStr">
        <is>
          <t>previsto · confirmado · en playa · operando · cumplido · cancelado</t>
        </is>
      </c>
      <c r="H353" s="12" t="inlineStr">
        <is>
          <t>No</t>
        </is>
      </c>
      <c r="I353" s="12" t="inlineStr">
        <is>
          <t>previsto / confirmado los fija Comercial; en playa / operando los fija Logística; cumplido lo fija el sistema al cerrar el operativo</t>
        </is>
      </c>
      <c r="J353" s="12" t="inlineStr">
        <is>
          <t>Revisión 15/09/2026</t>
        </is>
      </c>
      <c r="K353" s="12" t="inlineStr">
        <is>
          <t>propio</t>
        </is>
      </c>
      <c r="L353" s="12" t="inlineStr">
        <is>
          <t>— (nuevo)</t>
        </is>
      </c>
      <c r="M353" s="10" t="inlineStr">
        <is>
          <t>Pendiente</t>
        </is>
      </c>
      <c r="N353" s="10" t="n"/>
    </row>
    <row r="354">
      <c r="A354" s="12" t="inlineStr">
        <is>
          <t>M-32</t>
        </is>
      </c>
      <c r="B354" s="12" t="inlineStr">
        <is>
          <t>Arribos ferroviarios</t>
        </is>
      </c>
      <c r="C354" s="12" t="n">
        <v>16</v>
      </c>
      <c r="D354" s="11" t="inlineStr">
        <is>
          <t>operativo_vinculado</t>
        </is>
      </c>
      <c r="E354" s="12" t="inlineStr">
        <is>
          <t>Texto (14)</t>
        </is>
      </c>
      <c r="F354" s="12" t="inlineStr">
        <is>
          <t>No</t>
        </is>
      </c>
      <c r="G354" s="12" t="inlineStr">
        <is>
          <t>—</t>
        </is>
      </c>
      <c r="H354" s="12" t="inlineStr">
        <is>
          <t>No</t>
        </is>
      </c>
      <c r="I354" s="12" t="inlineStr">
        <is>
          <t>Calculado: lo completa el sistema al identificar el servicio</t>
        </is>
      </c>
      <c r="J354" s="12" t="inlineStr">
        <is>
          <t>Revisión 15/09/2026</t>
        </is>
      </c>
      <c r="K354" s="12" t="inlineStr">
        <is>
          <t>calculado</t>
        </is>
      </c>
      <c r="L354" s="12" t="inlineStr">
        <is>
          <t>— (nuevo)</t>
        </is>
      </c>
      <c r="M354" s="10" t="inlineStr">
        <is>
          <t>Pendiente</t>
        </is>
      </c>
      <c r="N354" s="10" t="n"/>
    </row>
    <row r="355">
      <c r="A355" s="12" t="inlineStr">
        <is>
          <t>M-32</t>
        </is>
      </c>
      <c r="B355" s="12" t="inlineStr">
        <is>
          <t>Arribos ferroviarios</t>
        </is>
      </c>
      <c r="C355" s="12" t="n">
        <v>17</v>
      </c>
      <c r="D355" s="11" t="inlineStr">
        <is>
          <t>observaciones</t>
        </is>
      </c>
      <c r="E355" s="12" t="inlineStr">
        <is>
          <t>Texto (200)</t>
        </is>
      </c>
      <c r="F355" s="12" t="inlineStr">
        <is>
          <t>No</t>
        </is>
      </c>
      <c r="G355" s="12" t="inlineStr">
        <is>
          <t>—</t>
        </is>
      </c>
      <c r="H355" s="12" t="inlineStr">
        <is>
          <t>No</t>
        </is>
      </c>
      <c r="I355" s="12" t="inlineStr">
        <is>
          <t>—</t>
        </is>
      </c>
      <c r="J355" s="12" t="inlineStr">
        <is>
          <t>Revisión 15/09/2026</t>
        </is>
      </c>
      <c r="K355" s="12" t="inlineStr">
        <is>
          <t>propio</t>
        </is>
      </c>
      <c r="L355" s="12" t="inlineStr">
        <is>
          <t>— (nuevo)</t>
        </is>
      </c>
      <c r="M355" s="10" t="inlineStr">
        <is>
          <t>Pendiente</t>
        </is>
      </c>
      <c r="N355" s="10" t="n"/>
    </row>
    <row r="356">
      <c r="A356" s="12" t="inlineStr">
        <is>
          <t>M-33</t>
        </is>
      </c>
      <c r="B356" s="12" t="inlineStr">
        <is>
          <t>Régimen de turnos</t>
        </is>
      </c>
      <c r="C356" s="12" t="n">
        <v>1</v>
      </c>
      <c r="D356" s="11" t="inlineStr">
        <is>
          <t>codigo</t>
        </is>
      </c>
      <c r="E356" s="12" t="inlineStr">
        <is>
          <t>Código (8)</t>
        </is>
      </c>
      <c r="F356" s="12" t="inlineStr">
        <is>
          <t>Sí</t>
        </is>
      </c>
      <c r="G356" s="12" t="inlineStr">
        <is>
          <t>T1 · T2 · T3 · T4</t>
        </is>
      </c>
      <c r="H356" s="12" t="inlineStr">
        <is>
          <t>No</t>
        </is>
      </c>
      <c r="I356" s="12" t="inlineStr">
        <is>
          <t>—</t>
        </is>
      </c>
      <c r="J356" s="12" t="inlineStr">
        <is>
          <t>Revisión 15/09/2026</t>
        </is>
      </c>
      <c r="K356" s="12" t="inlineStr">
        <is>
          <t>propio</t>
        </is>
      </c>
      <c r="L356" s="12" t="inlineStr">
        <is>
          <t>— (nuevo)</t>
        </is>
      </c>
      <c r="M356" s="10" t="inlineStr">
        <is>
          <t>Pendiente</t>
        </is>
      </c>
      <c r="N356" s="10" t="n"/>
    </row>
    <row r="357">
      <c r="A357" s="12" t="inlineStr">
        <is>
          <t>M-33</t>
        </is>
      </c>
      <c r="B357" s="12" t="inlineStr">
        <is>
          <t>Régimen de turnos</t>
        </is>
      </c>
      <c r="C357" s="12" t="n">
        <v>2</v>
      </c>
      <c r="D357" s="11" t="inlineStr">
        <is>
          <t>nombre</t>
        </is>
      </c>
      <c r="E357" s="12" t="inlineStr">
        <is>
          <t>Texto (40)</t>
        </is>
      </c>
      <c r="F357" s="12" t="inlineStr">
        <is>
          <t>Sí</t>
        </is>
      </c>
      <c r="G357" s="12" t="inlineStr">
        <is>
          <t>—</t>
        </is>
      </c>
      <c r="H357" s="12" t="inlineStr">
        <is>
          <t>No</t>
        </is>
      </c>
      <c r="I357" s="12" t="inlineStr">
        <is>
          <t>—</t>
        </is>
      </c>
      <c r="J357" s="12" t="inlineStr">
        <is>
          <t>Revisión 15/09/2026</t>
        </is>
      </c>
      <c r="K357" s="12" t="inlineStr">
        <is>
          <t>propio</t>
        </is>
      </c>
      <c r="L357" s="12" t="inlineStr">
        <is>
          <t>— (nuevo)</t>
        </is>
      </c>
      <c r="M357" s="10" t="inlineStr">
        <is>
          <t>Pendiente</t>
        </is>
      </c>
      <c r="N357" s="10" t="n"/>
    </row>
    <row r="358">
      <c r="A358" s="12" t="inlineStr">
        <is>
          <t>M-33</t>
        </is>
      </c>
      <c r="B358" s="12" t="inlineStr">
        <is>
          <t>Régimen de turnos</t>
        </is>
      </c>
      <c r="C358" s="12" t="n">
        <v>3</v>
      </c>
      <c r="D358" s="11" t="inlineStr">
        <is>
          <t>orden</t>
        </is>
      </c>
      <c r="E358" s="12" t="inlineStr">
        <is>
          <t>Entero</t>
        </is>
      </c>
      <c r="F358" s="12" t="inlineStr">
        <is>
          <t>Sí</t>
        </is>
      </c>
      <c r="G358" s="12" t="inlineStr">
        <is>
          <t>1..n</t>
        </is>
      </c>
      <c r="H358" s="12" t="inlineStr">
        <is>
          <t>No</t>
        </is>
      </c>
      <c r="I358" s="12" t="inlineStr">
        <is>
          <t>Secuencia del turno dentro del día</t>
        </is>
      </c>
      <c r="J358" s="12" t="inlineStr">
        <is>
          <t>Revisión 15/09/2026</t>
        </is>
      </c>
      <c r="K358" s="12" t="inlineStr">
        <is>
          <t>propio</t>
        </is>
      </c>
      <c r="L358" s="12" t="inlineStr">
        <is>
          <t>— (nuevo)</t>
        </is>
      </c>
      <c r="M358" s="10" t="inlineStr">
        <is>
          <t>Pendiente</t>
        </is>
      </c>
      <c r="N358" s="10" t="n"/>
    </row>
    <row r="359">
      <c r="A359" s="12" t="inlineStr">
        <is>
          <t>M-33</t>
        </is>
      </c>
      <c r="B359" s="12" t="inlineStr">
        <is>
          <t>Régimen de turnos</t>
        </is>
      </c>
      <c r="C359" s="12" t="n">
        <v>4</v>
      </c>
      <c r="D359" s="11" t="inlineStr">
        <is>
          <t>hora_desde</t>
        </is>
      </c>
      <c r="E359" s="12" t="inlineStr">
        <is>
          <t>Hora</t>
        </is>
      </c>
      <c r="F359" s="12" t="inlineStr">
        <is>
          <t>Sí</t>
        </is>
      </c>
      <c r="G359" s="12" t="inlineStr">
        <is>
          <t>—</t>
        </is>
      </c>
      <c r="H359" s="12" t="inlineStr">
        <is>
          <t>No</t>
        </is>
      </c>
      <c r="I359" s="12" t="inlineStr">
        <is>
          <t>—</t>
        </is>
      </c>
      <c r="J359" s="12" t="inlineStr">
        <is>
          <t>Revisión 15/09/2026</t>
        </is>
      </c>
      <c r="K359" s="12" t="inlineStr">
        <is>
          <t>propio</t>
        </is>
      </c>
      <c r="L359" s="12" t="inlineStr">
        <is>
          <t>— (nuevo)</t>
        </is>
      </c>
      <c r="M359" s="10" t="inlineStr">
        <is>
          <t>Pendiente</t>
        </is>
      </c>
      <c r="N359" s="10" t="n"/>
    </row>
    <row r="360">
      <c r="A360" s="12" t="inlineStr">
        <is>
          <t>M-33</t>
        </is>
      </c>
      <c r="B360" s="12" t="inlineStr">
        <is>
          <t>Régimen de turnos</t>
        </is>
      </c>
      <c r="C360" s="12" t="n">
        <v>5</v>
      </c>
      <c r="D360" s="11" t="inlineStr">
        <is>
          <t>hora_hasta</t>
        </is>
      </c>
      <c r="E360" s="12" t="inlineStr">
        <is>
          <t>Hora</t>
        </is>
      </c>
      <c r="F360" s="12" t="inlineStr">
        <is>
          <t>Sí</t>
        </is>
      </c>
      <c r="G360" s="12" t="inlineStr">
        <is>
          <t>—</t>
        </is>
      </c>
      <c r="H360" s="12" t="inlineStr">
        <is>
          <t>No</t>
        </is>
      </c>
      <c r="I360" s="12" t="inlineStr">
        <is>
          <t>—</t>
        </is>
      </c>
      <c r="J360" s="12" t="inlineStr">
        <is>
          <t>Revisión 15/09/2026</t>
        </is>
      </c>
      <c r="K360" s="12" t="inlineStr">
        <is>
          <t>propio</t>
        </is>
      </c>
      <c r="L360" s="12" t="inlineStr">
        <is>
          <t>— (nuevo)</t>
        </is>
      </c>
      <c r="M360" s="10" t="inlineStr">
        <is>
          <t>Pendiente</t>
        </is>
      </c>
      <c r="N360" s="10" t="n"/>
    </row>
    <row r="361">
      <c r="A361" s="12" t="inlineStr">
        <is>
          <t>M-33</t>
        </is>
      </c>
      <c r="B361" s="12" t="inlineStr">
        <is>
          <t>Régimen de turnos</t>
        </is>
      </c>
      <c r="C361" s="12" t="n">
        <v>6</v>
      </c>
      <c r="D361" s="11" t="inlineStr">
        <is>
          <t>duracion_h</t>
        </is>
      </c>
      <c r="E361" s="12" t="inlineStr">
        <is>
          <t>Decimal (4,1)</t>
        </is>
      </c>
      <c r="F361" s="12" t="inlineStr">
        <is>
          <t>Sí</t>
        </is>
      </c>
      <c r="G361" s="12" t="inlineStr">
        <is>
          <t>&gt; 0</t>
        </is>
      </c>
      <c r="H361" s="12" t="inlineStr">
        <is>
          <t>Sí</t>
        </is>
      </c>
      <c r="I361" s="12" t="inlineStr">
        <is>
          <t>Duración del turno en horas: gobierna la duración del operativo y las horas de costo por turno</t>
        </is>
      </c>
      <c r="J361" s="12" t="inlineStr">
        <is>
          <t>Revisión 15/09/2026</t>
        </is>
      </c>
      <c r="K361" s="12" t="inlineStr">
        <is>
          <t>propio</t>
        </is>
      </c>
      <c r="L361" s="12" t="inlineStr">
        <is>
          <t>— (nuevo)</t>
        </is>
      </c>
      <c r="M361" s="10" t="inlineStr">
        <is>
          <t>Pendiente</t>
        </is>
      </c>
      <c r="N361" s="10" t="n"/>
    </row>
    <row r="362">
      <c r="A362" s="12" t="inlineStr">
        <is>
          <t>M-33</t>
        </is>
      </c>
      <c r="B362" s="12" t="inlineStr">
        <is>
          <t>Régimen de turnos</t>
        </is>
      </c>
      <c r="C362" s="12" t="n">
        <v>7</v>
      </c>
      <c r="D362" s="11" t="inlineStr">
        <is>
          <t>planta</t>
        </is>
      </c>
      <c r="E362" s="12" t="inlineStr">
        <is>
          <t>Ref. M-09</t>
        </is>
      </c>
      <c r="F362" s="12" t="inlineStr">
        <is>
          <t>No</t>
        </is>
      </c>
      <c r="G362" s="12" t="inlineStr">
        <is>
          <t>vacío = todas las plantas</t>
        </is>
      </c>
      <c r="H362" s="12" t="inlineStr">
        <is>
          <t>No</t>
        </is>
      </c>
      <c r="I362" s="12" t="inlineStr">
        <is>
          <t>—</t>
        </is>
      </c>
      <c r="J362" s="12" t="inlineStr">
        <is>
          <t>Revisión 15/09/2026</t>
        </is>
      </c>
      <c r="K362" s="12" t="inlineStr">
        <is>
          <t>propio</t>
        </is>
      </c>
      <c r="L362" s="12" t="inlineStr">
        <is>
          <t>— (nuevo)</t>
        </is>
      </c>
      <c r="M362" s="10" t="inlineStr">
        <is>
          <t>Pendiente</t>
        </is>
      </c>
      <c r="N362" s="10" t="n"/>
    </row>
    <row r="363">
      <c r="A363" s="12" t="inlineStr">
        <is>
          <t>M-33</t>
        </is>
      </c>
      <c r="B363" s="12" t="inlineStr">
        <is>
          <t>Régimen de turnos</t>
        </is>
      </c>
      <c r="C363" s="12" t="n">
        <v>8</v>
      </c>
      <c r="D363" s="11" t="inlineStr">
        <is>
          <t>estado</t>
        </is>
      </c>
      <c r="E363" s="12" t="inlineStr">
        <is>
          <t>Enumerado</t>
        </is>
      </c>
      <c r="F363" s="12" t="inlineStr">
        <is>
          <t>Sí</t>
        </is>
      </c>
      <c r="G363" s="12" t="inlineStr">
        <is>
          <t>activo · inactivo</t>
        </is>
      </c>
      <c r="H363" s="12" t="inlineStr">
        <is>
          <t>No</t>
        </is>
      </c>
      <c r="I363" s="12" t="inlineStr">
        <is>
          <t>—</t>
        </is>
      </c>
      <c r="J363" s="12" t="inlineStr">
        <is>
          <t>Revisión 15/09/2026</t>
        </is>
      </c>
      <c r="K363" s="12" t="inlineStr">
        <is>
          <t>propio</t>
        </is>
      </c>
      <c r="L363" s="12" t="inlineStr">
        <is>
          <t>— (nuevo)</t>
        </is>
      </c>
      <c r="M363" s="10" t="inlineStr">
        <is>
          <t>Pendiente</t>
        </is>
      </c>
      <c r="N363" s="10" t="n"/>
    </row>
    <row r="364">
      <c r="A364" s="12" t="inlineStr">
        <is>
          <t>M-34</t>
        </is>
      </c>
      <c r="B364" s="12" t="inlineStr">
        <is>
          <t>Métodos seguros</t>
        </is>
      </c>
      <c r="C364" s="12" t="n">
        <v>1</v>
      </c>
      <c r="D364" s="11" t="inlineStr">
        <is>
          <t>codigo</t>
        </is>
      </c>
      <c r="E364" s="12" t="inlineStr">
        <is>
          <t>Código (10)</t>
        </is>
      </c>
      <c r="F364" s="12" t="inlineStr">
        <is>
          <t>Sí</t>
        </is>
      </c>
      <c r="G364" s="12" t="inlineStr">
        <is>
          <t>—</t>
        </is>
      </c>
      <c r="H364" s="12" t="inlineStr">
        <is>
          <t>No</t>
        </is>
      </c>
      <c r="I364" s="12" t="inlineStr">
        <is>
          <t>—</t>
        </is>
      </c>
      <c r="J364" s="12" t="inlineStr">
        <is>
          <t>Revisión 15/09/2026</t>
        </is>
      </c>
      <c r="K364" s="12" t="inlineStr">
        <is>
          <t>propio</t>
        </is>
      </c>
      <c r="L364" s="12" t="inlineStr">
        <is>
          <t>— (nuevo)</t>
        </is>
      </c>
      <c r="M364" s="10" t="inlineStr">
        <is>
          <t>Pendiente</t>
        </is>
      </c>
      <c r="N364" s="10" t="n"/>
    </row>
    <row r="365">
      <c r="A365" s="12" t="inlineStr">
        <is>
          <t>M-34</t>
        </is>
      </c>
      <c r="B365" s="12" t="inlineStr">
        <is>
          <t>Métodos seguros</t>
        </is>
      </c>
      <c r="C365" s="12" t="n">
        <v>2</v>
      </c>
      <c r="D365" s="11" t="inlineStr">
        <is>
          <t>nombre</t>
        </is>
      </c>
      <c r="E365" s="12" t="inlineStr">
        <is>
          <t>Texto (120)</t>
        </is>
      </c>
      <c r="F365" s="12" t="inlineStr">
        <is>
          <t>Sí</t>
        </is>
      </c>
      <c r="G365" s="12" t="inlineStr">
        <is>
          <t>—</t>
        </is>
      </c>
      <c r="H365" s="12" t="inlineStr">
        <is>
          <t>No</t>
        </is>
      </c>
      <c r="I365" s="12" t="inlineStr">
        <is>
          <t>—</t>
        </is>
      </c>
      <c r="J365" s="12" t="inlineStr">
        <is>
          <t>Revisión 15/09/2026</t>
        </is>
      </c>
      <c r="K365" s="12" t="inlineStr">
        <is>
          <t>propio</t>
        </is>
      </c>
      <c r="L365" s="12" t="inlineStr">
        <is>
          <t>— (nuevo)</t>
        </is>
      </c>
      <c r="M365" s="10" t="inlineStr">
        <is>
          <t>Pendiente</t>
        </is>
      </c>
      <c r="N365" s="10" t="n"/>
    </row>
    <row r="366">
      <c r="A366" s="12" t="inlineStr">
        <is>
          <t>M-34</t>
        </is>
      </c>
      <c r="B366" s="12" t="inlineStr">
        <is>
          <t>Métodos seguros</t>
        </is>
      </c>
      <c r="C366" s="12" t="n">
        <v>3</v>
      </c>
      <c r="D366" s="11" t="inlineStr">
        <is>
          <t>tipo</t>
        </is>
      </c>
      <c r="E366" s="12" t="inlineStr">
        <is>
          <t>Enumerado</t>
        </is>
      </c>
      <c r="F366" s="12" t="inlineStr">
        <is>
          <t>Sí</t>
        </is>
      </c>
      <c r="G366" s="12" t="inlineStr">
        <is>
          <t>procedimiento operativo · instructivo de trabajo · permiso de trabajo · hoja de seguridad (FDS) · plan de emergencia · matriz de EPP · habilitación de operador</t>
        </is>
      </c>
      <c r="H366" s="12" t="inlineStr">
        <is>
          <t>No</t>
        </is>
      </c>
      <c r="I366" s="12" t="inlineStr">
        <is>
          <t>Tipo de método seguro</t>
        </is>
      </c>
      <c r="J366" s="12" t="inlineStr">
        <is>
          <t>Revisión 15/09/2026</t>
        </is>
      </c>
      <c r="K366" s="12" t="inlineStr">
        <is>
          <t>propio</t>
        </is>
      </c>
      <c r="L366" s="12" t="inlineStr">
        <is>
          <t>— (nuevo)</t>
        </is>
      </c>
      <c r="M366" s="10" t="inlineStr">
        <is>
          <t>Pendiente</t>
        </is>
      </c>
      <c r="N366" s="10" t="n"/>
    </row>
    <row r="367">
      <c r="A367" s="12" t="inlineStr">
        <is>
          <t>M-34</t>
        </is>
      </c>
      <c r="B367" s="12" t="inlineStr">
        <is>
          <t>Métodos seguros</t>
        </is>
      </c>
      <c r="C367" s="12" t="n">
        <v>4</v>
      </c>
      <c r="D367" s="11" t="inlineStr">
        <is>
          <t>documento</t>
        </is>
      </c>
      <c r="E367" s="12" t="inlineStr">
        <is>
          <t>Texto (80)</t>
        </is>
      </c>
      <c r="F367" s="12" t="inlineStr">
        <is>
          <t>Sí</t>
        </is>
      </c>
      <c r="G367" s="12" t="inlineStr">
        <is>
          <t>código / referencia del documento vigente</t>
        </is>
      </c>
      <c r="H367" s="12" t="inlineStr">
        <is>
          <t>No</t>
        </is>
      </c>
      <c r="I367" s="12" t="inlineStr">
        <is>
          <t>El documento que avala la forma de gestionar el recurso</t>
        </is>
      </c>
      <c r="J367" s="12" t="inlineStr">
        <is>
          <t>Revisión 15/09/2026</t>
        </is>
      </c>
      <c r="K367" s="12" t="inlineStr">
        <is>
          <t>propio</t>
        </is>
      </c>
      <c r="L367" s="12" t="inlineStr">
        <is>
          <t>— (nuevo)</t>
        </is>
      </c>
      <c r="M367" s="10" t="inlineStr">
        <is>
          <t>Pendiente</t>
        </is>
      </c>
      <c r="N367" s="10" t="n"/>
    </row>
    <row r="368">
      <c r="A368" s="12" t="inlineStr">
        <is>
          <t>M-34</t>
        </is>
      </c>
      <c r="B368" s="12" t="inlineStr">
        <is>
          <t>Métodos seguros</t>
        </is>
      </c>
      <c r="C368" s="12" t="n">
        <v>5</v>
      </c>
      <c r="D368" s="11" t="inlineStr">
        <is>
          <t>version</t>
        </is>
      </c>
      <c r="E368" s="12" t="inlineStr">
        <is>
          <t>Texto (10)</t>
        </is>
      </c>
      <c r="F368" s="12" t="inlineStr">
        <is>
          <t>Sí</t>
        </is>
      </c>
      <c r="G368" s="12" t="inlineStr">
        <is>
          <t>—</t>
        </is>
      </c>
      <c r="H368" s="12" t="inlineStr">
        <is>
          <t>No</t>
        </is>
      </c>
      <c r="I368" s="12" t="inlineStr">
        <is>
          <t>—</t>
        </is>
      </c>
      <c r="J368" s="12" t="inlineStr">
        <is>
          <t>Revisión 15/09/2026</t>
        </is>
      </c>
      <c r="K368" s="12" t="inlineStr">
        <is>
          <t>propio</t>
        </is>
      </c>
      <c r="L368" s="12" t="inlineStr">
        <is>
          <t>— (nuevo)</t>
        </is>
      </c>
      <c r="M368" s="10" t="inlineStr">
        <is>
          <t>Pendiente</t>
        </is>
      </c>
      <c r="N368" s="10" t="n"/>
    </row>
    <row r="369">
      <c r="A369" s="12" t="inlineStr">
        <is>
          <t>M-34</t>
        </is>
      </c>
      <c r="B369" s="12" t="inlineStr">
        <is>
          <t>Métodos seguros</t>
        </is>
      </c>
      <c r="C369" s="12" t="n">
        <v>6</v>
      </c>
      <c r="D369" s="11" t="inlineStr">
        <is>
          <t>aplica_a</t>
        </is>
      </c>
      <c r="E369" s="12" t="inlineStr">
        <is>
          <t>Enumerado (múltiple)</t>
        </is>
      </c>
      <c r="F369" s="12" t="inlineStr">
        <is>
          <t>Sí</t>
        </is>
      </c>
      <c r="G369" s="12" t="inlineStr">
        <is>
          <t>producto · depósito · ubicación · transporte · maquinaria · personal · muelle · balanza · tipo de servicio</t>
        </is>
      </c>
      <c r="H369" s="12" t="inlineStr">
        <is>
          <t>No</t>
        </is>
      </c>
      <c r="I369" s="12" t="inlineStr">
        <is>
          <t>Sobre qué clase de recurso se puede referenciar</t>
        </is>
      </c>
      <c r="J369" s="12" t="inlineStr">
        <is>
          <t>Revisión 15/09/2026</t>
        </is>
      </c>
      <c r="K369" s="12" t="inlineStr">
        <is>
          <t>propio</t>
        </is>
      </c>
      <c r="L369" s="12" t="inlineStr">
        <is>
          <t>— (nuevo)</t>
        </is>
      </c>
      <c r="M369" s="10" t="inlineStr">
        <is>
          <t>Pendiente</t>
        </is>
      </c>
      <c r="N369" s="10" t="n"/>
    </row>
    <row r="370">
      <c r="A370" s="12" t="inlineStr">
        <is>
          <t>M-34</t>
        </is>
      </c>
      <c r="B370" s="12" t="inlineStr">
        <is>
          <t>Métodos seguros</t>
        </is>
      </c>
      <c r="C370" s="12" t="n">
        <v>7</v>
      </c>
      <c r="D370" s="11" t="inlineStr">
        <is>
          <t>responsable</t>
        </is>
      </c>
      <c r="E370" s="12" t="inlineStr">
        <is>
          <t>Ref. M-05</t>
        </is>
      </c>
      <c r="F370" s="12" t="inlineStr">
        <is>
          <t>Sí</t>
        </is>
      </c>
      <c r="G370" s="12" t="inlineStr">
        <is>
          <t>área responsable de mantenerlo vigente</t>
        </is>
      </c>
      <c r="H370" s="12" t="inlineStr">
        <is>
          <t>No</t>
        </is>
      </c>
      <c r="I370" s="12" t="inlineStr">
        <is>
          <t>—</t>
        </is>
      </c>
      <c r="J370" s="12" t="inlineStr">
        <is>
          <t>Revisión 15/09/2026</t>
        </is>
      </c>
      <c r="K370" s="12" t="inlineStr">
        <is>
          <t>propio</t>
        </is>
      </c>
      <c r="L370" s="12" t="inlineStr">
        <is>
          <t>— (nuevo)</t>
        </is>
      </c>
      <c r="M370" s="10" t="inlineStr">
        <is>
          <t>Pendiente</t>
        </is>
      </c>
      <c r="N370" s="10" t="n"/>
    </row>
    <row r="371">
      <c r="A371" s="12" t="inlineStr">
        <is>
          <t>M-34</t>
        </is>
      </c>
      <c r="B371" s="12" t="inlineStr">
        <is>
          <t>Métodos seguros</t>
        </is>
      </c>
      <c r="C371" s="12" t="n">
        <v>8</v>
      </c>
      <c r="D371" s="11" t="inlineStr">
        <is>
          <t>fecha_vigencia_desde</t>
        </is>
      </c>
      <c r="E371" s="12" t="inlineStr">
        <is>
          <t>Fecha</t>
        </is>
      </c>
      <c r="F371" s="12" t="inlineStr">
        <is>
          <t>Sí</t>
        </is>
      </c>
      <c r="G371" s="12" t="inlineStr">
        <is>
          <t>—</t>
        </is>
      </c>
      <c r="H371" s="12" t="inlineStr">
        <is>
          <t>No</t>
        </is>
      </c>
      <c r="I371" s="12" t="inlineStr">
        <is>
          <t>—</t>
        </is>
      </c>
      <c r="J371" s="12" t="inlineStr">
        <is>
          <t>Revisión 15/09/2026</t>
        </is>
      </c>
      <c r="K371" s="12" t="inlineStr">
        <is>
          <t>propio</t>
        </is>
      </c>
      <c r="L371" s="12" t="inlineStr">
        <is>
          <t>— (nuevo)</t>
        </is>
      </c>
      <c r="M371" s="10" t="inlineStr">
        <is>
          <t>Pendiente</t>
        </is>
      </c>
      <c r="N371" s="10" t="n"/>
    </row>
    <row r="372">
      <c r="A372" s="12" t="inlineStr">
        <is>
          <t>M-34</t>
        </is>
      </c>
      <c r="B372" s="12" t="inlineStr">
        <is>
          <t>Métodos seguros</t>
        </is>
      </c>
      <c r="C372" s="12" t="n">
        <v>9</v>
      </c>
      <c r="D372" s="11" t="inlineStr">
        <is>
          <t>fecha_vencimiento</t>
        </is>
      </c>
      <c r="E372" s="12" t="inlineStr">
        <is>
          <t>Fecha</t>
        </is>
      </c>
      <c r="F372" s="12" t="inlineStr">
        <is>
          <t>Sí</t>
        </is>
      </c>
      <c r="G372" s="12" t="inlineStr">
        <is>
          <t>futuro</t>
        </is>
      </c>
      <c r="H372" s="12" t="inlineStr">
        <is>
          <t>No</t>
        </is>
      </c>
      <c r="I372" s="12" t="inlineStr">
        <is>
          <t>Vencimiento con consecuencia (CV-4): al vencer aplica accion_al_vencer sobre todos los recursos que lo referencian</t>
        </is>
      </c>
      <c r="J372" s="12" t="inlineStr">
        <is>
          <t>Revisión 15/09/2026</t>
        </is>
      </c>
      <c r="K372" s="12" t="inlineStr">
        <is>
          <t>propio</t>
        </is>
      </c>
      <c r="L372" s="12" t="inlineStr">
        <is>
          <t>— (nuevo)</t>
        </is>
      </c>
      <c r="M372" s="10" t="inlineStr">
        <is>
          <t>Pendiente</t>
        </is>
      </c>
      <c r="N372" s="10" t="n"/>
    </row>
    <row r="373">
      <c r="A373" s="12" t="inlineStr">
        <is>
          <t>M-34</t>
        </is>
      </c>
      <c r="B373" s="12" t="inlineStr">
        <is>
          <t>Métodos seguros</t>
        </is>
      </c>
      <c r="C373" s="12" t="n">
        <v>10</v>
      </c>
      <c r="D373" s="11" t="inlineStr">
        <is>
          <t>dias_aviso</t>
        </is>
      </c>
      <c r="E373" s="12" t="inlineStr">
        <is>
          <t>Entero</t>
        </is>
      </c>
      <c r="F373" s="12" t="inlineStr">
        <is>
          <t>Sí</t>
        </is>
      </c>
      <c r="G373" s="12" t="inlineStr">
        <is>
          <t>≥ 0</t>
        </is>
      </c>
      <c r="H373" s="12" t="inlineStr">
        <is>
          <t>Sí</t>
        </is>
      </c>
      <c r="I373" s="12" t="inlineStr">
        <is>
          <t>Días antes del vencimiento en que el recurso pasa a "con observaciones" y se alerta al responsable</t>
        </is>
      </c>
      <c r="J373" s="12" t="inlineStr">
        <is>
          <t>Revisión 15/09/2026</t>
        </is>
      </c>
      <c r="K373" s="12" t="inlineStr">
        <is>
          <t>propio</t>
        </is>
      </c>
      <c r="L373" s="12" t="inlineStr">
        <is>
          <t>— (nuevo)</t>
        </is>
      </c>
      <c r="M373" s="10" t="inlineStr">
        <is>
          <t>Pendiente</t>
        </is>
      </c>
      <c r="N373" s="10" t="n"/>
    </row>
    <row r="374">
      <c r="A374" s="12" t="inlineStr">
        <is>
          <t>M-34</t>
        </is>
      </c>
      <c r="B374" s="12" t="inlineStr">
        <is>
          <t>Métodos seguros</t>
        </is>
      </c>
      <c r="C374" s="12" t="n">
        <v>11</v>
      </c>
      <c r="D374" s="11" t="inlineStr">
        <is>
          <t>accion_al_vencer</t>
        </is>
      </c>
      <c r="E374" s="12" t="inlineStr">
        <is>
          <t>Enumerado</t>
        </is>
      </c>
      <c r="F374" s="12" t="inlineStr">
        <is>
          <t>Sí</t>
        </is>
      </c>
      <c r="G374" s="12" t="inlineStr">
        <is>
          <t>bloquear el recurso · alertar y registrar desvío</t>
        </is>
      </c>
      <c r="H374" s="12" t="inlineStr">
        <is>
          <t>No</t>
        </is>
      </c>
      <c r="I374" s="12" t="inlineStr">
        <is>
          <t>—</t>
        </is>
      </c>
      <c r="J374" s="12" t="inlineStr">
        <is>
          <t>Revisión 15/09/2026</t>
        </is>
      </c>
      <c r="K374" s="12" t="inlineStr">
        <is>
          <t>propio</t>
        </is>
      </c>
      <c r="L374" s="12" t="inlineStr">
        <is>
          <t>— (nuevo)</t>
        </is>
      </c>
      <c r="M374" s="10" t="inlineStr">
        <is>
          <t>Pendiente</t>
        </is>
      </c>
      <c r="N374" s="10" t="n"/>
    </row>
    <row r="375">
      <c r="A375" s="12" t="inlineStr">
        <is>
          <t>M-34</t>
        </is>
      </c>
      <c r="B375" s="12" t="inlineStr">
        <is>
          <t>Métodos seguros</t>
        </is>
      </c>
      <c r="C375" s="12" t="n">
        <v>12</v>
      </c>
      <c r="D375" s="11" t="inlineStr">
        <is>
          <t>estado</t>
        </is>
      </c>
      <c r="E375" s="12" t="inlineStr">
        <is>
          <t>Enumerado</t>
        </is>
      </c>
      <c r="F375" s="12" t="inlineStr">
        <is>
          <t>Sí</t>
        </is>
      </c>
      <c r="G375" s="12" t="inlineStr">
        <is>
          <t>vigente · en revisión · vencido · reemplazado</t>
        </is>
      </c>
      <c r="H375" s="12" t="inlineStr">
        <is>
          <t>No</t>
        </is>
      </c>
      <c r="I375" s="12" t="inlineStr">
        <is>
          <t>—</t>
        </is>
      </c>
      <c r="J375" s="12" t="inlineStr">
        <is>
          <t>Revisión 15/09/2026</t>
        </is>
      </c>
      <c r="K375" s="12" t="inlineStr">
        <is>
          <t>propio</t>
        </is>
      </c>
      <c r="L375" s="12" t="inlineStr">
        <is>
          <t>— (nuevo)</t>
        </is>
      </c>
      <c r="M375" s="10" t="inlineStr">
        <is>
          <t>Pendiente</t>
        </is>
      </c>
      <c r="N375" s="10" t="n"/>
    </row>
  </sheetData>
  <autoFilter ref="A1:N375"/>
  <dataValidations count="1">
    <dataValidation sqref="M2:M375" showDropDown="0" showInputMessage="0" showErrorMessage="0" allowBlank="1" type="list">
      <formula1>"Pendiente,Validado,Con cambios,Eliminar"</formula1>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A6A6A6"/>
    <outlinePr summaryBelow="1" summaryRight="1"/>
    <pageSetUpPr/>
  </sheetPr>
  <dimension ref="A1:E17"/>
  <sheetViews>
    <sheetView zoomScaleNormal="100" workbookViewId="0">
      <pane ySplit="1" topLeftCell="A2" activePane="bottomLeft" state="frozen"/>
      <selection pane="bottomLeft" activeCell="A1" sqref="A1"/>
    </sheetView>
  </sheetViews>
  <sheetFormatPr baseColWidth="10" defaultColWidth="8.6328125" defaultRowHeight="14.5"/>
  <cols>
    <col width="26" customWidth="1" min="1" max="1"/>
    <col width="22" customWidth="1" min="2" max="2"/>
    <col width="14" customWidth="1" min="3" max="3"/>
    <col width="50" customWidth="1" min="4" max="4"/>
    <col width="70" customWidth="1" min="5" max="5"/>
  </cols>
  <sheetData>
    <row r="1" ht="30" customFormat="1" customHeight="1" s="28">
      <c r="A1" s="27" t="inlineStr">
        <is>
          <t>Atributo</t>
        </is>
      </c>
      <c r="B1" s="27" t="inlineStr">
        <is>
          <t>Tipo</t>
        </is>
      </c>
      <c r="C1" s="27" t="inlineStr">
        <is>
          <t>Obligatorio</t>
        </is>
      </c>
      <c r="D1" s="27" t="inlineStr">
        <is>
          <t>Dominio de valores</t>
        </is>
      </c>
      <c r="E1" s="27" t="inlineStr">
        <is>
          <t>Regla</t>
        </is>
      </c>
    </row>
    <row r="2" ht="25" customFormat="1" customHeight="1" s="28">
      <c r="A2" s="30" t="inlineStr">
        <is>
          <t>estado_registro</t>
        </is>
      </c>
      <c r="B2" s="29" t="inlineStr">
        <is>
          <t>Enumerado</t>
        </is>
      </c>
      <c r="C2" s="29" t="inlineStr">
        <is>
          <t>Sí</t>
        </is>
      </c>
      <c r="D2" s="29" t="inlineStr">
        <is>
          <t>borrador · en validación · en autorización · vigente · publicada · suspendida · dada de baja</t>
        </is>
      </c>
      <c r="E2" s="29" t="inlineStr">
        <is>
          <t>Lo maneja el motor de workflow, no el usuario. Nada se borra: la baja solo procede sin movimientos.</t>
        </is>
      </c>
    </row>
    <row r="3" ht="25" customFormat="1" customHeight="1" s="28">
      <c r="A3" s="32" t="inlineStr">
        <is>
          <t>creado_por / creado_el</t>
        </is>
      </c>
      <c r="B3" s="33" t="inlineStr">
        <is>
          <t>Ref. usuario · Fecha y hora</t>
        </is>
      </c>
      <c r="C3" s="33" t="inlineStr">
        <is>
          <t>Sí</t>
        </is>
      </c>
      <c r="D3" s="33" t="inlineStr">
        <is>
          <t>—</t>
        </is>
      </c>
      <c r="E3" s="33" t="inlineStr">
        <is>
          <t>Solicitante y momento de la solicitud.</t>
        </is>
      </c>
    </row>
    <row r="4" ht="25" customHeight="1">
      <c r="A4" s="8" t="inlineStr">
        <is>
          <t>validado_por / validado_el</t>
        </is>
      </c>
      <c r="B4" s="9" t="inlineStr">
        <is>
          <t>Ref. usuario · Fecha y hora</t>
        </is>
      </c>
      <c r="C4" s="9" t="inlineStr">
        <is>
          <t>Condicional</t>
        </is>
      </c>
      <c r="D4" s="9" t="inlineStr">
        <is>
          <t>—</t>
        </is>
      </c>
      <c r="E4" s="9" t="inlineStr">
        <is>
          <t>Curador del dominio: controla consistencia, documentación y duplicados. Obligatorio para pasar a autorización.</t>
        </is>
      </c>
    </row>
    <row r="5" ht="26" customHeight="1">
      <c r="A5" s="15" t="inlineStr">
        <is>
          <t>autorizado_por / autorizado_el</t>
        </is>
      </c>
      <c r="B5" s="16" t="inlineStr">
        <is>
          <t>Ref. usuario · Fecha y hora</t>
        </is>
      </c>
      <c r="C5" s="16" t="inlineStr">
        <is>
          <t>Condicional</t>
        </is>
      </c>
      <c r="D5" s="16" t="inlineStr">
        <is>
          <t>—</t>
        </is>
      </c>
      <c r="E5" s="16" t="inlineStr">
        <is>
          <t>El autorizante no puede ser el solicitante: el sistema lo impide (control por oposición).</t>
        </is>
      </c>
    </row>
    <row r="6" ht="25" customHeight="1">
      <c r="A6" s="8" t="inlineStr">
        <is>
          <t>version</t>
        </is>
      </c>
      <c r="B6" s="9" t="inlineStr">
        <is>
          <t>Entero</t>
        </is>
      </c>
      <c r="C6" s="9" t="inlineStr">
        <is>
          <t>Sí</t>
        </is>
      </c>
      <c r="D6" s="9" t="inlineStr">
        <is>
          <t>≥ 1</t>
        </is>
      </c>
      <c r="E6" s="9" t="inlineStr">
        <is>
          <t>Se incrementa con cada cambio autorizado; la versión anterior queda cerrada y legible.</t>
        </is>
      </c>
    </row>
    <row r="7">
      <c r="A7" s="15" t="inlineStr">
        <is>
          <t>origen</t>
        </is>
      </c>
      <c r="B7" s="16" t="inlineStr">
        <is>
          <t>Enumerado</t>
        </is>
      </c>
      <c r="C7" s="16" t="inlineStr">
        <is>
          <t>Sí</t>
        </is>
      </c>
      <c r="D7" s="16" t="inlineStr">
        <is>
          <t>manual · migración · integración · alta provisoria</t>
        </is>
      </c>
      <c r="E7" s="16" t="inlineStr">
        <is>
          <t>Permite medir las altas fuera del circuito.</t>
        </is>
      </c>
    </row>
    <row r="8">
      <c r="A8" s="8" t="inlineStr">
        <is>
          <t>vence_el</t>
        </is>
      </c>
      <c r="B8" s="9" t="inlineStr">
        <is>
          <t>Fecha</t>
        </is>
      </c>
      <c r="C8" s="9" t="inlineStr">
        <is>
          <t>Condicional</t>
        </is>
      </c>
      <c r="D8" s="9" t="inlineStr">
        <is>
          <t>—</t>
        </is>
      </c>
      <c r="E8" s="9" t="inlineStr">
        <is>
          <t>Solo altas provisorias: 72 horas para regularizar o suspender.</t>
        </is>
      </c>
    </row>
    <row r="10" ht="15.5" customHeight="1">
      <c r="A10" s="19" t="inlineStr">
        <is>
          <t>Ciclo de vida del registro</t>
        </is>
      </c>
    </row>
    <row r="11">
      <c r="A11" s="20" t="inlineStr">
        <is>
          <t>Estado</t>
        </is>
      </c>
      <c r="B11" s="20" t="inlineStr">
        <is>
          <t>Qué pasa</t>
        </is>
      </c>
      <c r="C11" s="20" t="inlineStr">
        <is>
          <t>Regla</t>
        </is>
      </c>
    </row>
    <row r="12" ht="62.5" customHeight="1">
      <c r="A12" s="8" t="inlineStr">
        <is>
          <t>1 Borrador</t>
        </is>
      </c>
      <c r="B12" s="9" t="inlineStr">
        <is>
          <t>Cualquier solicitante del dominio completa el formulario.</t>
        </is>
      </c>
      <c r="C12" s="9" t="inlineStr">
        <is>
          <t>No avanza con un obligatorio vacío ni una referencia inexistente.</t>
        </is>
      </c>
    </row>
    <row r="13" ht="62.5" customHeight="1">
      <c r="A13" s="15" t="inlineStr">
        <is>
          <t>2 En validación</t>
        </is>
      </c>
      <c r="B13" s="16" t="inlineStr">
        <is>
          <t>El curador del dominio controla consistencia, documentación, vencimientos y duplicados.</t>
        </is>
      </c>
      <c r="C13" s="16" t="inlineStr">
        <is>
          <t>La devolución exige motivo, que queda en la traza.</t>
        </is>
      </c>
    </row>
    <row r="14" ht="100" customHeight="1">
      <c r="A14" s="8" t="inlineStr">
        <is>
          <t>3 En autorización</t>
        </is>
      </c>
      <c r="B14" s="9" t="inlineStr">
        <is>
          <t>El autorizante del dominio aprueba o rechaza.</t>
        </is>
      </c>
      <c r="C14" s="9" t="inlineStr">
        <is>
          <t>Para entidades con impacto económico la autorización es nominal y no delegable. Autorizante ≠ solicitante.</t>
        </is>
      </c>
    </row>
    <row r="15" ht="87.5" customHeight="1">
      <c r="A15" s="15" t="inlineStr">
        <is>
          <t>4 Vigente</t>
        </is>
      </c>
      <c r="B15" s="16" t="inlineStr">
        <is>
          <t>Se activa desde su fecha de vigencia y cierra la versión anterior.</t>
        </is>
      </c>
      <c r="C15" s="16" t="inlineStr">
        <is>
          <t>Una transacción vieja se lee con el parámetro que regía cuando ocurrió: sin retroactividad.</t>
        </is>
      </c>
    </row>
    <row r="16" ht="50" customHeight="1">
      <c r="A16" s="8" t="inlineStr">
        <is>
          <t>5 Publicada</t>
        </is>
      </c>
      <c r="B16" s="9" t="inlineStr">
        <is>
          <t>El maestro publica el alta o el cambio y los módulos que lo consumen lo reciben.</t>
        </is>
      </c>
      <c r="C16" s="9" t="inlineStr">
        <is>
          <t>Ningún módulo mantiene copia editable propia.</t>
        </is>
      </c>
    </row>
    <row r="17" ht="87.5" customHeight="1">
      <c r="A17" s="15" t="inlineStr">
        <is>
          <t>6 Suspendida / baja</t>
        </is>
      </c>
      <c r="B17" s="16" t="inlineStr">
        <is>
          <t>El dueño del dominio suspende con autorización.</t>
        </is>
      </c>
      <c r="C17" s="16" t="inlineStr">
        <is>
          <t>El vencimiento de un atributo con fecha suspende automáticamente. La baja solo sin movimientos.</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A6A6A6"/>
    <outlinePr summaryBelow="1" summaryRight="1"/>
    <pageSetUpPr/>
  </sheetPr>
  <dimension ref="A1:C10"/>
  <sheetViews>
    <sheetView zoomScaleNormal="100" workbookViewId="0">
      <pane ySplit="1" topLeftCell="A2" activePane="bottomLeft" state="frozen"/>
      <selection pane="bottomLeft" activeCell="A1" sqref="A1:XFD1"/>
    </sheetView>
  </sheetViews>
  <sheetFormatPr baseColWidth="10" defaultColWidth="8.6328125" defaultRowHeight="14.5"/>
  <cols>
    <col width="8" customWidth="1" min="1" max="1"/>
    <col width="30" customWidth="1" min="2" max="2"/>
    <col width="120" customWidth="1" min="3" max="3"/>
  </cols>
  <sheetData>
    <row r="1" ht="30" customFormat="1" customHeight="1" s="28">
      <c r="A1" s="27" t="inlineStr">
        <is>
          <t>Nº</t>
        </is>
      </c>
      <c r="B1" s="27" t="inlineStr">
        <is>
          <t>Convención</t>
        </is>
      </c>
      <c r="C1" s="27" t="inlineStr">
        <is>
          <t>Qué exige</t>
        </is>
      </c>
    </row>
    <row r="2">
      <c r="A2" s="8" t="inlineStr">
        <is>
          <t>CV-1</t>
        </is>
      </c>
      <c r="B2" s="8" t="inlineStr">
        <is>
          <t>Un solo origen</t>
        </is>
      </c>
      <c r="C2" s="9" t="inlineStr">
        <is>
          <t>Cada entidad tiene una sola definición para todo el grupo; los conflictos los resuelve el comité de datos.</t>
        </is>
      </c>
    </row>
    <row r="3">
      <c r="A3" s="15" t="inlineStr">
        <is>
          <t>CV-2</t>
        </is>
      </c>
      <c r="B3" s="15" t="inlineStr">
        <is>
          <t>Clave doble</t>
        </is>
      </c>
      <c r="C3" s="16" t="inlineStr">
        <is>
          <t>Clave primaria subrogada (interna, estable, nunca se reutiliza) + clave natural declarada (CUIT, patente, IMO, código) para detectar duplicados.</t>
        </is>
      </c>
    </row>
    <row r="4">
      <c r="A4" s="8" t="inlineStr">
        <is>
          <t>CV-3</t>
        </is>
      </c>
      <c r="B4" s="8" t="inlineStr">
        <is>
          <t>Sin relleno</t>
        </is>
      </c>
      <c r="C4" s="9" t="inlineStr">
        <is>
          <t>Un obligatorio vacío impide avanzar; prohibido '0', 'S/D' o defaults que oculten la falta. Si el dato no existe, queda en borrador.</t>
        </is>
      </c>
    </row>
    <row r="5" ht="25" customHeight="1">
      <c r="A5" s="15" t="inlineStr">
        <is>
          <t>CV-4</t>
        </is>
      </c>
      <c r="B5" s="15" t="inlineStr">
        <is>
          <t>Vencimiento con consecuencia</t>
        </is>
      </c>
      <c r="C5" s="16" t="inlineStr">
        <is>
          <t>Toda fecha de vencimiento declara qué hace el sistema al vencer: suspender, bloquear una transacción concreta o alertar. Sin consecuencia declarada, no se carga.</t>
        </is>
      </c>
    </row>
    <row r="6">
      <c r="A6" s="8" t="inlineStr">
        <is>
          <t>CV-5</t>
        </is>
      </c>
      <c r="B6" s="8" t="inlineStr">
        <is>
          <t>Vigencia y versionado</t>
        </is>
      </c>
      <c r="C6" s="9" t="inlineStr">
        <is>
          <t>Los parámetros económicos (tarifas, contratos, costos) se versionan con vigencia futura; no existe la modificación retroactiva.</t>
        </is>
      </c>
    </row>
    <row r="7" ht="25" customHeight="1">
      <c r="A7" s="15" t="inlineStr">
        <is>
          <t>CV-6</t>
        </is>
      </c>
      <c r="B7" s="15" t="inlineStr">
        <is>
          <t>Referencia, no texto</t>
        </is>
      </c>
      <c r="C7" s="16" t="inlineStr">
        <is>
          <t>Cuando un atributo apunta a otro maestro es una referencia con integridad, nunca texto libre. El texto libre queda solo en 'observación' y fuera de reglas e indicadores.</t>
        </is>
      </c>
    </row>
    <row r="8">
      <c r="A8" s="8" t="inlineStr">
        <is>
          <t>CV-7</t>
        </is>
      </c>
      <c r="B8" s="8" t="inlineStr">
        <is>
          <t>Unidades explícitas</t>
        </is>
      </c>
      <c r="C8" s="9" t="inlineStr">
        <is>
          <t>Toda magnitud declara su unidad en el modelo (tn, tn/h, camiones/h, km, días); la conversión es del sistema.</t>
        </is>
      </c>
    </row>
    <row r="9">
      <c r="A9" s="15" t="inlineStr">
        <is>
          <t>CV-8</t>
        </is>
      </c>
      <c r="B9" s="15" t="inlineStr">
        <is>
          <t>Estado, no borrado</t>
        </is>
      </c>
      <c r="C9" s="16" t="inlineStr">
        <is>
          <t>Nada se elimina: el ciclo de vida gobierna. Los códigos no se reutilizan al dar de baja.</t>
        </is>
      </c>
    </row>
    <row r="10" ht="37.5" customHeight="1">
      <c r="A10" s="11" t="inlineStr">
        <is>
          <t>CV-9</t>
        </is>
      </c>
      <c r="B10" s="11" t="inlineStr">
        <is>
          <t>Atributos propios del objeto</t>
        </is>
      </c>
      <c r="C10" s="12" t="inlineStr">
        <is>
          <t>La master data se construye con información propia del objeto. Lo que depende de la ocasión (la agencia que opera un buque en un arribo, el producto que hoy ocupa una celda) no es atributo del maestro: vive en el LineUp, el Operativo o el Contrato. Lo que el sistema deriva de las transacciones (ocupación, horómetro, homologado) es calculado y no se carga a mano.</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A6A6A6"/>
    <outlinePr summaryBelow="1" summaryRight="1"/>
    <pageSetUpPr/>
  </sheetPr>
  <dimension ref="A1:D5"/>
  <sheetViews>
    <sheetView zoomScaleNormal="100" workbookViewId="0">
      <pane ySplit="1" topLeftCell="A2" activePane="bottomLeft" state="frozen"/>
      <selection pane="bottomLeft" activeCell="A1" sqref="A1:XFD1"/>
    </sheetView>
  </sheetViews>
  <sheetFormatPr baseColWidth="10" defaultColWidth="8.6328125" defaultRowHeight="14.5"/>
  <cols>
    <col width="8" customWidth="1" min="1" max="1"/>
    <col width="90" customWidth="1" min="2" max="2"/>
    <col width="70" customWidth="1" min="3" max="3"/>
    <col width="36" customWidth="1" min="4" max="4"/>
  </cols>
  <sheetData>
    <row r="1" ht="30" customFormat="1" customHeight="1" s="28">
      <c r="A1" s="27" t="inlineStr">
        <is>
          <t>Nivel</t>
        </is>
      </c>
      <c r="B1" s="27" t="inlineStr">
        <is>
          <t>Maestros</t>
        </is>
      </c>
      <c r="C1" s="27" t="inlineStr">
        <is>
          <t>Qué se hace</t>
        </is>
      </c>
      <c r="D1" s="27" t="inlineStr">
        <is>
          <t>Esfuerzo y bloqueo</t>
        </is>
      </c>
    </row>
    <row r="2" ht="37.5" customHeight="1">
      <c r="A2" s="8" t="n">
        <v>0</v>
      </c>
      <c r="B2" s="9" t="inlineStr">
        <is>
          <t>M-01 Unidad de negocio · M-05 Áreas · M-07 Productos · M-08 Buques · M-14 Tipos de servicios · M-18 Monedas y cotizaciones · M-20 Tolerancias · M-21 Agencia marítima / Armador · M-22 Despachante de aduana · M-27 Choferes · M-29 Causas de demora · M-33 Régimen de turnos · M-34 Métodos seguros</t>
        </is>
      </c>
      <c r="C2" s="9" t="inlineStr">
        <is>
          <t>Sin dependencias: catálogos, parámetros y objetos raíz. El régimen de turnos y el catálogo de métodos seguros se cargan primero porque los demás maestros los referencian.</t>
        </is>
      </c>
      <c r="D2" s="9" t="inlineStr">
        <is>
          <t>1 a 2 semanas</t>
        </is>
      </c>
    </row>
    <row r="3" ht="37.5" customHeight="1">
      <c r="A3" s="15" t="n">
        <v>1</v>
      </c>
      <c r="B3" s="16" t="inlineStr">
        <is>
          <t>M-02 Centro de costo · M-03 Cuenta objeto · M-04 Tipos de comprobantes · M-06 Clientes / Proveedores · M-09 Plantas · M-19 Calendario y turnos · M-23 Matriz de calidad · M-24 Matriz de compatibilidad · M-25 Muelles · M-30 Insumos y repuestos</t>
        </is>
      </c>
      <c r="C3" s="16" t="inlineStr">
        <is>
          <t>Dependen solo del nivel 0. M-19 Calendario referencia el régimen de turnos (M-33).</t>
        </is>
      </c>
      <c r="D3" s="16" t="inlineStr">
        <is>
          <t>3 a 4 semanas</t>
        </is>
      </c>
    </row>
    <row r="4" ht="25" customHeight="1">
      <c r="A4" s="8" t="n">
        <v>2</v>
      </c>
      <c r="B4" s="9" t="inlineStr">
        <is>
          <t>M-10 Depósitos · M-11 Transporte · M-12 Maquinaria · M-13 Personal contratado · M-15 Tarifas · M-16 Contratos · M-17 LineUp · M-26 Balanzas · M-28 Personal propio</t>
        </is>
      </c>
      <c r="C4" s="9" t="inlineStr">
        <is>
          <t>Maestros que controlan la operación: exigen definiciones previas del negocio y su método seguro vigente (M-34).</t>
        </is>
      </c>
      <c r="D4" s="9" t="inlineStr">
        <is>
          <t>3 a 4 semanas</t>
        </is>
      </c>
    </row>
    <row r="5">
      <c r="A5" s="15" t="n">
        <v>3</v>
      </c>
      <c r="B5" s="16" t="inlineStr">
        <is>
          <t>M-10a Celdas · boxes · tanques (detalle de Depósitos) · M-31 Cupos de ingreso · M-32 Arribos ferroviarios</t>
        </is>
      </c>
      <c r="C5" s="16" t="inlineStr">
        <is>
          <t>Inventario físico de celdas, boxes y tanques; programas de cupos y arribos ferroviarios (dependen del contrato y se administran por tramos).</t>
        </is>
      </c>
      <c r="D5" s="16" t="inlineStr">
        <is>
          <t>2 a 3 semanas de relevamiento</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FFA6A6A6"/>
    <outlinePr summaryBelow="1" summaryRight="1"/>
    <pageSetUpPr/>
  </sheetPr>
  <dimension ref="A1:G40"/>
  <sheetViews>
    <sheetView zoomScaleNormal="100" workbookViewId="0">
      <pane ySplit="1" topLeftCell="A2" activePane="bottomLeft" state="frozen"/>
      <selection pane="bottomLeft" activeCell="A1" sqref="A1:XFD1"/>
    </sheetView>
  </sheetViews>
  <sheetFormatPr baseColWidth="10" defaultColWidth="8.6328125" defaultRowHeight="14.5"/>
  <cols>
    <col width="8" customWidth="1" min="1" max="1"/>
    <col width="30" customWidth="1" min="2" max="3"/>
    <col width="32" customWidth="1" min="4" max="4"/>
    <col width="70" customWidth="1" min="5" max="5"/>
    <col width="15" customWidth="1" min="6" max="6"/>
    <col width="40" customWidth="1" min="7" max="7"/>
  </cols>
  <sheetData>
    <row r="1" ht="30" customFormat="1" customHeight="1" s="28">
      <c r="A1" s="27" t="inlineStr">
        <is>
          <t>Nº</t>
        </is>
      </c>
      <c r="B1" s="27" t="inlineStr">
        <is>
          <t>Definición</t>
        </is>
      </c>
      <c r="C1" s="27" t="inlineStr">
        <is>
          <t>Responsable</t>
        </is>
      </c>
      <c r="D1" s="27" t="inlineStr">
        <is>
          <t>Bloquea</t>
        </is>
      </c>
      <c r="E1" s="27" t="inlineStr">
        <is>
          <t>Qué hay que definir</t>
        </is>
      </c>
      <c r="F1" s="27" t="inlineStr">
        <is>
          <t>Revisión en sesión</t>
        </is>
      </c>
      <c r="G1" s="27" t="inlineStr">
        <is>
          <t>Comentarios del equipo</t>
        </is>
      </c>
    </row>
    <row r="2" ht="50" customHeight="1">
      <c r="A2" s="8" t="inlineStr">
        <is>
          <t>Nº 1</t>
        </is>
      </c>
      <c r="B2" s="8" t="inlineStr">
        <is>
          <t>El contrato como parámetro</t>
        </is>
      </c>
      <c r="C2" s="9" t="inlineStr">
        <is>
          <t>Comercial</t>
        </is>
      </c>
      <c r="D2" s="9" t="inlineStr">
        <is>
          <t>M-16</t>
        </is>
      </c>
      <c r="E2" s="9" t="inlineStr">
        <is>
          <t>Ritmo, tolerancia, merma, volumen comprometido, tope de cupos y espacio de cada contrato vigente. Sin estos valores el contrato no pasa a vigente. v2: agrega la antelación del aviso (SLA 15–30 días), el alcance por defecto y la condición aduanera prevista.</t>
        </is>
      </c>
      <c r="F2" s="10" t="inlineStr">
        <is>
          <t>Pendiente</t>
        </is>
      </c>
      <c r="G2" s="10" t="n"/>
    </row>
    <row r="3" ht="37.5" customHeight="1">
      <c r="A3" s="15" t="inlineStr">
        <is>
          <t>Nº 2</t>
        </is>
      </c>
      <c r="B3" s="15" t="inlineStr">
        <is>
          <t>Capacidad de cada balanza</t>
        </is>
      </c>
      <c r="C3" s="16" t="inlineStr">
        <is>
          <t>Tráfico · Balanza</t>
        </is>
      </c>
      <c r="D3" s="16" t="inlineStr">
        <is>
          <t>M-26 · M-20 (tolerancia 4 %)</t>
        </is>
      </c>
      <c r="E3" s="16" t="inlineStr">
        <is>
          <t>Medir tn/h, camiones/h y disponibilidad por banda de B1, B2, B3 (zona de puerto), balanza de depósito y fiscal de puerto, y declarar cuál prevalece en la conciliación. v2: fijar la cola máxima que dispara la derivación por congestión.</t>
        </is>
      </c>
      <c r="F3" s="10" t="inlineStr">
        <is>
          <t>Pendiente</t>
        </is>
      </c>
      <c r="G3" s="10" t="n"/>
    </row>
    <row r="4" ht="37.5" customHeight="1">
      <c r="A4" s="8" t="inlineStr">
        <is>
          <t>Nº 3</t>
        </is>
      </c>
      <c r="B4" s="8" t="inlineStr">
        <is>
          <t>Inventario de ubicaciones</t>
        </is>
      </c>
      <c r="C4" s="9" t="inlineStr">
        <is>
          <t>Depósito</t>
        </is>
      </c>
      <c r="D4" s="9" t="inlineStr">
        <is>
          <t>M-10 · M-10a</t>
        </is>
      </c>
      <c r="E4" s="9" t="inlineStr">
        <is>
          <t>Relevamiento físico de depósitos, celdas, boxes y tanques con capacidad y método de recepción. Sin ubicación no hay trazabilidad por lote. v2: incluir fosa y noria, producto asignado y ocupación inicial por box.</t>
        </is>
      </c>
      <c r="F4" s="10" t="inlineStr">
        <is>
          <t>Pendiente</t>
        </is>
      </c>
      <c r="G4" s="10" t="n"/>
    </row>
    <row r="5" ht="37.5" customHeight="1">
      <c r="A5" s="15" t="inlineStr">
        <is>
          <t>Nº 4</t>
        </is>
      </c>
      <c r="B5" s="15" t="inlineStr">
        <is>
          <t>Catálogo de causas de demora</t>
        </is>
      </c>
      <c r="C5" s="16" t="inlineStr">
        <is>
          <t>Operaciones · Calidad</t>
        </is>
      </c>
      <c r="D5" s="16" t="inlineStr">
        <is>
          <t>M-29</t>
        </is>
      </c>
      <c r="E5" s="16" t="inlineStr">
        <is>
          <t>Lista cerrada con categoría, imputable y efecto sobre el ritmo contractual. v2: incorporar congestión de balanza, recepción lenta en depósito, desvío logístico (GPS) y avería / secuencia de bodegas del buque.</t>
        </is>
      </c>
      <c r="F5" s="10" t="inlineStr">
        <is>
          <t>Pendiente</t>
        </is>
      </c>
      <c r="G5" s="10" t="n"/>
    </row>
    <row r="6" ht="26" customHeight="1">
      <c r="A6" s="8" t="inlineStr">
        <is>
          <t>Nº 5</t>
        </is>
      </c>
      <c r="B6" s="8" t="inlineStr">
        <is>
          <t>Plan de cuentas y objeto operativo</t>
        </is>
      </c>
      <c r="C6" s="9" t="inlineStr">
        <is>
          <t>Contabilidad</t>
        </is>
      </c>
      <c r="D6" s="9" t="inlineStr">
        <is>
          <t>M-03 · M-03</t>
        </is>
      </c>
      <c r="E6" s="9" t="inlineStr">
        <is>
          <t>Plan de cuentas por sociedad con el objeto de costo de tipo operativo: la precondición de la registración automática y del margen por operativo.</t>
        </is>
      </c>
      <c r="F6" s="10" t="inlineStr">
        <is>
          <t>Pendiente</t>
        </is>
      </c>
      <c r="G6" s="10" t="n"/>
    </row>
    <row r="7" ht="25" customHeight="1">
      <c r="A7" s="15" t="inlineStr">
        <is>
          <t>Nº 6</t>
        </is>
      </c>
      <c r="B7" s="15" t="inlineStr">
        <is>
          <t>Dotación de manos de referencia</t>
        </is>
      </c>
      <c r="C7" s="16" t="inlineStr">
        <is>
          <t>Operaciones Portuarias</t>
        </is>
      </c>
      <c r="D7" s="16" t="inlineStr">
        <is>
          <t>M-07</t>
        </is>
      </c>
      <c r="E7" s="16" t="inlineStr">
        <is>
          <t>Manos de referencia por producto sólido a granel, para planificar antes de la confirmación del capitán.</t>
        </is>
      </c>
      <c r="F7" s="10" t="inlineStr">
        <is>
          <t>Pendiente</t>
        </is>
      </c>
      <c r="G7" s="10" t="n"/>
    </row>
    <row r="8" ht="50" customHeight="1">
      <c r="A8" s="8" t="inlineStr">
        <is>
          <t>Nº 7</t>
        </is>
      </c>
      <c r="B8" s="8" t="inlineStr">
        <is>
          <t>Tabla de tolerancias operativas</t>
        </is>
      </c>
      <c r="C8" s="9" t="inlineStr">
        <is>
          <t>Operaciones · Logística · Tráfico</t>
        </is>
      </c>
      <c r="D8" s="9" t="inlineStr">
        <is>
          <t>M-20</t>
        </is>
      </c>
      <c r="E8" s="9" t="inlineStr">
        <is>
          <t>Por cada proceso controlado: parámetro, valor base, tolerancia de exceso/defecto y acción al exceder (bloquear · autorización nominal · alertar y registrar). Hoy son criterio del coordinador de turno; pasan a ser dato con traza de quién autoriza cada desvío.</t>
        </is>
      </c>
      <c r="F8" s="10" t="inlineStr">
        <is>
          <t>Pendiente</t>
        </is>
      </c>
      <c r="G8" s="10" t="n"/>
    </row>
    <row r="9" ht="37.5" customHeight="1">
      <c r="A9" s="15" t="inlineStr">
        <is>
          <t>Nº 8</t>
        </is>
      </c>
      <c r="B9" s="15" t="inlineStr">
        <is>
          <t>Especificaciones de calidad por producto</t>
        </is>
      </c>
      <c r="C9" s="16" t="inlineStr">
        <is>
          <t>Calidad</t>
        </is>
      </c>
      <c r="D9" s="16" t="inlineStr">
        <is>
          <t>M-23</t>
        </is>
      </c>
      <c r="E9" s="16" t="inlineStr">
        <is>
          <t>Por cada producto con muestreo: parámetros, valor nominal, banda de tolerancia, método de ensayo, frecuencia, punto de control y acción fuera de especificación (bloquear despacho · segregar · degradar).</t>
        </is>
      </c>
      <c r="F9" s="10" t="inlineStr">
        <is>
          <t>Pendiente</t>
        </is>
      </c>
      <c r="G9" s="10" t="n"/>
    </row>
    <row r="10" ht="62.5" customHeight="1">
      <c r="A10" s="8" t="inlineStr">
        <is>
          <t>Nº 9</t>
        </is>
      </c>
      <c r="B10" s="8" t="inlineStr">
        <is>
          <t>Régimen regulatorio y habilitaciones</t>
        </is>
      </c>
      <c r="C10" s="9" t="inlineStr">
        <is>
          <t>Depósito · Calidad · Operaciones Portuarias</t>
        </is>
      </c>
      <c r="D10" s="9" t="inlineStr">
        <is>
          <t>M-07 · M-10 · M-21 · M-21</t>
        </is>
      </c>
      <c r="E10" s="9" t="inlineStr">
        <is>
          <t>Por cada producto: si está alcanzado por RENPRE / RENAR. Por cada depósito: habilitaciones fiscal (incl. provisorio de Comirsa) y regulatorias con vencimiento y consecuencia. Catálogo de organismos externos y de documentos del expediente del buque con quién los emite y si bloquean el avance. Hoy la verificación es manual y no deja registro.</t>
        </is>
      </c>
      <c r="F10" s="10" t="inlineStr">
        <is>
          <t>Pendiente</t>
        </is>
      </c>
      <c r="G10" s="10" t="n"/>
    </row>
    <row r="11" ht="87.5" customHeight="1">
      <c r="A11" s="15" t="inlineStr">
        <is>
          <t>Nº 10</t>
        </is>
      </c>
      <c r="B11" s="15" t="inlineStr">
        <is>
          <t>Fuentes y homologación del LineUp</t>
        </is>
      </c>
      <c r="C11" s="16" t="inlineStr">
        <is>
          <t>Operaciones Portuarias · Comercial</t>
        </is>
      </c>
      <c r="D11" s="16" t="inlineStr">
        <is>
          <t>M-17 · M-09 · M-08 · M-21</t>
        </is>
      </c>
      <c r="E11" s="16" t="inlineStr">
        <is>
          <t>Qué LineUps se importan y con qué frecuencia (agencias, CGPSN, terminales de terceros), qué puertos y categorías de carga interesan (¿todo el río o solo fertilizantes y buques con potencial TyS?), quién es el curador que homologa buque / cliente / producto dentro de las 72 h, la tolerancia de variación de ETA que dispara alerta (M-20) y la regla de conflicto cuando dos fuentes informan tonelajes o fechas distintos (hoy: "REVISAR" en la columna de observaciones). Hoy la consolidación es manual (hoja "Integrado") y no queda trazada.</t>
        </is>
      </c>
      <c r="F11" s="10" t="inlineStr">
        <is>
          <t>Pendiente</t>
        </is>
      </c>
      <c r="G11" s="10" t="n"/>
    </row>
    <row r="12" ht="37.5" customHeight="1">
      <c r="A12" s="11" t="inlineStr">
        <is>
          <t>Nº 11</t>
        </is>
      </c>
      <c r="B12" s="11" t="inlineStr">
        <is>
          <t>Catálogo de tipos de servicio (M-14)</t>
        </is>
      </c>
      <c r="C12" s="12" t="inlineStr">
        <is>
          <t>Comercial · Operaciones</t>
        </is>
      </c>
      <c r="D12" s="12" t="inlineStr">
        <is>
          <t>M-14 · M-15 · M-16</t>
        </is>
      </c>
      <c r="E12" s="12" t="inlineStr">
        <is>
          <t>Lista de servicios simples (DESC, TRA, ALM…) y combinados, con componentes, origen (LineUp / solicitud), recursos que consume, controles obligatorios y etapas del Operativo que aplican. Sin esta lista no hay Operativo ni tarifa.</t>
        </is>
      </c>
      <c r="F12" s="10" t="inlineStr">
        <is>
          <t>Pendiente</t>
        </is>
      </c>
      <c r="G12" s="10" t="n"/>
    </row>
    <row r="13" ht="37.5" customHeight="1">
      <c r="A13" s="11" t="inlineStr">
        <is>
          <t>Nº 12</t>
        </is>
      </c>
      <c r="B13" s="11" t="inlineStr">
        <is>
          <t>Criterio de destino y matriz de manos</t>
        </is>
      </c>
      <c r="C13" s="12" t="inlineStr">
        <is>
          <t>Planificación · Depósitos · Operaciones</t>
        </is>
      </c>
      <c r="D13" s="12" t="inlineStr">
        <is>
          <t>M-07 · M-09 · M-10 · M-25</t>
        </is>
      </c>
      <c r="E13" s="12" t="inlineStr">
        <is>
          <t>Prioridad planta propia → satélite → alquilada; costo de flete y almacenaje de referencia por planta (M-09 ★); tn por mano y turno por producto (M-07 ★) y su variante por puerto / muelle / calidad.</t>
        </is>
      </c>
      <c r="F13" s="10" t="inlineStr">
        <is>
          <t>Pendiente</t>
        </is>
      </c>
      <c r="G13" s="10" t="n"/>
    </row>
    <row r="14" ht="37.5" customHeight="1">
      <c r="A14" s="35" t="inlineStr">
        <is>
          <t>Nº 13</t>
        </is>
      </c>
      <c r="B14" s="35" t="inlineStr">
        <is>
          <t>Régimen de turnos de 6 h</t>
        </is>
      </c>
      <c r="C14" s="36" t="inlineStr">
        <is>
          <t>RRHH · Operaciones</t>
        </is>
      </c>
      <c r="D14" s="36" t="inlineStr">
        <is>
          <t>M-33 · M-19 · M-16 (ritmo por turno)</t>
        </is>
      </c>
      <c r="E14" s="36" t="inlineStr">
        <is>
          <t>Cuatro turnos de 6 h y sus horarios (propuesta T1 06–12 · T2 12–18 · T3 18–24 · T4 00–06), inicio del día operativo, si el ritmo contractual (tn/turno) se redefine por turno de 6 h y el costo de habilitación de días inhábiles.</t>
        </is>
      </c>
      <c r="F14" s="10" t="inlineStr">
        <is>
          <t>Pendiente</t>
        </is>
      </c>
      <c r="G14" s="10" t="n"/>
    </row>
    <row r="15" ht="37.5" customHeight="1">
      <c r="A15" s="35" t="inlineStr">
        <is>
          <t>Nº 14</t>
        </is>
      </c>
      <c r="B15" s="35" t="inlineStr">
        <is>
          <t>Catálogo de métodos seguros</t>
        </is>
      </c>
      <c r="C15" s="36" t="inlineStr">
        <is>
          <t>Seguridad e Higiene · cada sector dueño</t>
        </is>
      </c>
      <c r="D15" s="36" t="inlineStr">
        <is>
          <t>M-34 · metodo_seguro de M-07 · M-10 · M-11 · M-12 · M-13 · M-14 · M-25 · M-26</t>
        </is>
      </c>
      <c r="E15" s="36" t="inlineStr">
        <is>
          <t>Inventario de procedimientos, instructivos, permisos, FDS, planes de emergencia y habilitaciones vigentes: tipo, documento, versión, responsable, vencimiento, días de aviso y acción al vencer (bloquear · alertar). Qué maestros exigen MS obligatorio.</t>
        </is>
      </c>
      <c r="F15" s="10" t="inlineStr">
        <is>
          <t>Pendiente</t>
        </is>
      </c>
      <c r="G15" s="10" t="n"/>
    </row>
    <row r="16" ht="37.5" customHeight="1">
      <c r="A16" s="35" t="inlineStr">
        <is>
          <t>Nº 15</t>
        </is>
      </c>
      <c r="B16" s="35" t="inlineStr">
        <is>
          <t>Tramos de administración del programa</t>
        </is>
      </c>
      <c r="C16" s="36" t="inlineStr">
        <is>
          <t>Comercial · Planificación · Tráfico · Logística</t>
        </is>
      </c>
      <c r="D16" s="36" t="inlineStr">
        <is>
          <t>M-17 · M-31 · M-32</t>
        </is>
      </c>
      <c r="E16" s="36" t="inlineStr">
        <is>
          <t>Qué atributos de LineUp, cupos y arribos escribe cada rol (tramo comercial / portuario / de portería / operativo) y quién corrige un dato del tramo ajeno (propuesta: Máster data / Administrador con motivo).</t>
        </is>
      </c>
      <c r="F16" s="10" t="inlineStr">
        <is>
          <t>Pendiente</t>
        </is>
      </c>
      <c r="G16" s="10" t="n"/>
    </row>
    <row r="17" ht="37.5" customHeight="1">
      <c r="A17" s="35" t="inlineStr">
        <is>
          <t>Nº 16</t>
        </is>
      </c>
      <c r="B17" s="35" t="inlineStr">
        <is>
          <t>Habilitación fiscal de balanzas y depósitos</t>
        </is>
      </c>
      <c r="C17" s="36" t="inlineStr">
        <is>
          <t>Tráfico · Depósito</t>
        </is>
      </c>
      <c r="D17" s="36" t="inlineStr">
        <is>
          <t>M-26 (habilitada_fiscal) · M-10 (tipo fiscal · habilitación aduanera)</t>
        </is>
      </c>
      <c r="E17" s="36" t="inlineStr">
        <is>
          <t>Qué balanzas están habilitadas para pesar mercadería no nacionalizada y con qué vencimiento; qué depósitos son fiscales o fiscales temporarios. Es lo que filtra la planificación cuando Comercial declara "no nacionalizada".</t>
        </is>
      </c>
      <c r="F17" s="10" t="inlineStr">
        <is>
          <t>Pendiente</t>
        </is>
      </c>
      <c r="G17" s="10" t="n"/>
    </row>
    <row r="18" ht="37.5" customHeight="1">
      <c r="A18" s="35" t="inlineStr">
        <is>
          <t>Nº 17</t>
        </is>
      </c>
      <c r="B18" s="35" t="inlineStr">
        <is>
          <t>Operadores ferroviarios y playas de vías</t>
        </is>
      </c>
      <c r="C18" s="36" t="inlineStr">
        <is>
          <t>Logística · Comercial</t>
        </is>
      </c>
      <c r="D18" s="36" t="inlineStr">
        <is>
          <t>M-32 · M-06 (rubro ferrocarril) · M-09 (playa de vías)</t>
        </is>
      </c>
      <c r="E18" s="36" t="inlineStr">
        <is>
          <t>Operadores (BCyL, NCA) como proveedores, playas de vías / desvíos por planta, ventanas típicas de descarga y carga de vagones, y si la descarga de vagones exige una tarea propia del plan.</t>
        </is>
      </c>
      <c r="F18" s="10" t="inlineStr">
        <is>
          <t>Pendiente</t>
        </is>
      </c>
      <c r="G18" s="10" t="n"/>
    </row>
    <row r="19" ht="37.5" customHeight="1">
      <c r="A19" s="35" t="inlineStr">
        <is>
          <t>Nº 18</t>
        </is>
      </c>
      <c r="B19" s="35" t="inlineStr">
        <is>
          <t>Recursos por categoría: manos, puestos y choferes</t>
        </is>
      </c>
      <c r="C19" s="36" t="inlineStr">
        <is>
          <t>RRHH · Operaciones · Logística</t>
        </is>
      </c>
      <c r="D19" s="36" t="inlineStr">
        <is>
          <t>M-13 (composicion_roles) · M-05 (puestos) · M-27</t>
        </is>
      </c>
      <c r="E19" s="36" t="inlineStr">
        <is>
          <t>Composición por roles de cada categoría de mano; dotación mínima y costo horario por puesto; universo de choferes habilitados (licencia, credencial, ART). Se planifica por cantidad, nunca por nombre.</t>
        </is>
      </c>
      <c r="F19" s="10" t="inlineStr">
        <is>
          <t>Pendiente</t>
        </is>
      </c>
      <c r="G19" s="10" t="n"/>
    </row>
    <row r="20" ht="50" customHeight="1"/>
    <row r="21" ht="62.5" customHeight="1">
      <c r="A21" s="19" t="inlineStr">
        <is>
          <t>Decisiones por maestro — abiertas (heredadas del v2.2, remapeadas) y tomadas por el modelo</t>
        </is>
      </c>
    </row>
    <row r="22" ht="37.5" customHeight="1">
      <c r="A22" s="7" t="inlineStr">
        <is>
          <t>Código</t>
        </is>
      </c>
      <c r="B22" s="7" t="inlineStr">
        <is>
          <t>Maestro</t>
        </is>
      </c>
      <c r="C22" s="7" t="inlineStr">
        <is>
          <t>Decisión</t>
        </is>
      </c>
      <c r="D22" s="7" t="inlineStr">
        <is>
          <t>Opciones</t>
        </is>
      </c>
      <c r="E22" s="7" t="inlineStr">
        <is>
          <t>Recomendación / decisión</t>
        </is>
      </c>
      <c r="F22" s="7" t="inlineStr">
        <is>
          <t>Impacto si no se decide</t>
        </is>
      </c>
      <c r="G22" s="7" t="inlineStr">
        <is>
          <t>Estado</t>
        </is>
      </c>
    </row>
    <row r="23" ht="50" customHeight="1">
      <c r="A23" s="8" t="inlineStr">
        <is>
          <t>D-1</t>
        </is>
      </c>
      <c r="B23" s="9" t="inlineStr">
        <is>
          <t>M-17 LineUp portuario</t>
        </is>
      </c>
      <c r="C23" s="9" t="inlineStr">
        <is>
          <t>Dónde viven los puertos externos</t>
        </is>
      </c>
      <c r="D23" s="9" t="inlineStr">
        <is>
          <t>(a) Ampliar M-09 con tipo "puerto / terminal externa" · (b) Catálogo nuevo MD-38 Puerto</t>
        </is>
      </c>
      <c r="E23" s="9" t="inlineStr">
        <is>
          <t>(a): M-09 ya tiene satélites y puerto; un tipo más no rompe nada y evita otro maestro.</t>
        </is>
      </c>
      <c r="F23" s="9" t="inlineStr">
        <is>
          <t>M-17 no puede referenciar puerto (CV-6) y queda como texto.</t>
        </is>
      </c>
      <c r="G23" s="9" t="inlineStr">
        <is>
          <t>Abierta</t>
        </is>
      </c>
    </row>
    <row r="24" ht="37.5" customHeight="1">
      <c r="A24" s="15" t="inlineStr">
        <is>
          <t>D-2</t>
        </is>
      </c>
      <c r="B24" s="16" t="inlineStr">
        <is>
          <t>M-17 LineUp portuario</t>
        </is>
      </c>
      <c r="C24" s="16" t="inlineStr">
        <is>
          <t>Operador de terminal (TYS, PTP, MTR, CASPORT)</t>
        </is>
      </c>
      <c r="D24" s="16" t="inlineStr">
        <is>
          <t>(a) Enumerado en M-17 · (b) Ref. M-06 Proveedor · (c) Ref. M-21 Organismo externo</t>
        </is>
      </c>
      <c r="E24" s="16" t="inlineStr">
        <is>
          <t>(a) para arrancar; migrar a referencia si se necesita facturar / contratar con ellos.</t>
        </is>
      </c>
      <c r="F24" s="16" t="inlineStr">
        <is>
          <t>Bajo.</t>
        </is>
      </c>
      <c r="G24" s="16" t="inlineStr">
        <is>
          <t>Abierta</t>
        </is>
      </c>
    </row>
    <row r="25" ht="37.5" customHeight="1">
      <c r="A25" s="8" t="inlineStr">
        <is>
          <t>D-3</t>
        </is>
      </c>
      <c r="B25" s="9" t="inlineStr">
        <is>
          <t>M-17 LineUp portuario</t>
        </is>
      </c>
      <c r="C25" s="9" t="inlineStr">
        <is>
          <t>Alcance de la importación</t>
        </is>
      </c>
      <c r="D25" s="9" t="inlineStr">
        <is>
          <t>(a) Todo el LineUp del río · (b) Solo puertos de interés y familia fertilizantes · (c) Todo, con alcance_geografico = fuera de interés para lo demás</t>
        </is>
      </c>
      <c r="E25" s="9" t="inlineStr">
        <is>
          <t>(c): conserva la visión completa del río para IA y competencia sin cargar de seguimiento a Operaciones.</t>
        </is>
      </c>
      <c r="F25" s="9" t="inlineStr">
        <is>
          <t>Volumen y ruido en el panel.</t>
        </is>
      </c>
      <c r="G25" s="9" t="inlineStr">
        <is>
          <t>Abierta</t>
        </is>
      </c>
    </row>
    <row r="26" ht="112.5" customHeight="1">
      <c r="A26" s="15" t="inlineStr">
        <is>
          <t>D-4</t>
        </is>
      </c>
      <c r="B26" s="16" t="inlineStr">
        <is>
          <t>M-17 LineUp portuario</t>
        </is>
      </c>
      <c r="C26" s="16" t="inlineStr">
        <is>
          <t>Curador y frecuencia</t>
        </is>
      </c>
      <c r="D26" s="16" t="inlineStr">
        <is>
          <t>¿Quién importa y homologa cada día? ¿Una vez (mañana) o al recibir cada LineUp?</t>
        </is>
      </c>
      <c r="E26" s="16" t="inlineStr">
        <is>
          <t>Operaciones Portuarias, una corrida diaria antes de la reunión de las 14:00 + eventos ad hoc.</t>
        </is>
      </c>
      <c r="F26" s="16" t="inlineStr">
        <is>
          <t>Sin dueño, el maestro envejece como el Excel actual.</t>
        </is>
      </c>
      <c r="G26" s="16" t="inlineStr">
        <is>
          <t>Abierta</t>
        </is>
      </c>
    </row>
    <row r="27" ht="25" customHeight="1">
      <c r="A27" s="8" t="inlineStr">
        <is>
          <t>D-5</t>
        </is>
      </c>
      <c r="B27" s="9" t="inlineStr">
        <is>
          <t>M-17 LineUp portuario</t>
        </is>
      </c>
      <c r="C27" s="9" t="inlineStr">
        <is>
          <t>Prevalencia entre fuentes</t>
        </is>
      </c>
      <c r="D27" s="9" t="inlineStr">
        <is>
          <t>Aviso del cliente &gt; LineUp de agencia &gt; CGPSN &gt; terminal tercera, o por antigüedad de la versión</t>
        </is>
      </c>
      <c r="E27" s="9" t="inlineStr">
        <is>
          <t>Aviso del cliente prevalece en cliente / producto / tonelaje; agencia prevalece en ETA / ETB / ETC.</t>
        </is>
      </c>
      <c r="F27" s="9" t="inlineStr">
        <is>
          <t>Las discrepancias siguen resolviéndose "a criterio".</t>
        </is>
      </c>
      <c r="G27" s="9" t="inlineStr">
        <is>
          <t>Abierta</t>
        </is>
      </c>
    </row>
    <row r="28" ht="37.5" customHeight="1">
      <c r="A28" s="15" t="inlineStr">
        <is>
          <t>D-6</t>
        </is>
      </c>
      <c r="B28" s="16" t="inlineStr">
        <is>
          <t>M-17 LineUp portuario</t>
        </is>
      </c>
      <c r="C28" s="16" t="inlineStr">
        <is>
          <t>Tolerancia de variación de ETA (AL-2)</t>
        </is>
      </c>
      <c r="D28" s="16" t="inlineStr">
        <is>
          <t>Horas que disparan la alerta</t>
        </is>
      </c>
      <c r="E28" s="16" t="inlineStr">
        <is>
          <t>24 h como valor inicial en M-20; ajustar con datos.</t>
        </is>
      </c>
      <c r="F28" s="16" t="inlineStr">
        <is>
          <t>Alertas en exceso o en defecto.</t>
        </is>
      </c>
      <c r="G28" s="16" t="inlineStr">
        <is>
          <t>Abierta</t>
        </is>
      </c>
    </row>
    <row r="29" ht="37.5" customHeight="1">
      <c r="A29" s="8" t="inlineStr">
        <is>
          <t>D-7</t>
        </is>
      </c>
      <c r="B29" s="9" t="inlineStr">
        <is>
          <t>M-17 LineUp portuario</t>
        </is>
      </c>
      <c r="C29" s="9" t="inlineStr">
        <is>
          <t>Clave natural definitiva</t>
        </is>
      </c>
      <c r="D29" s="9" t="inlineStr">
        <is>
          <t>puerto + buque + ETA (fecha) + cliente + producto vs. incluir agencia</t>
        </is>
      </c>
      <c r="E29" s="9" t="inlineStr">
        <is>
          <t>La propuesta; agencia no, porque puede cambiar.</t>
        </is>
      </c>
      <c r="F29" s="9" t="inlineStr">
        <is>
          <t>Duplicados o fusiones indebidas en la importación.</t>
        </is>
      </c>
      <c r="G29" s="9" t="inlineStr">
        <is>
          <t>Abierta</t>
        </is>
      </c>
    </row>
    <row r="30" ht="50" customHeight="1">
      <c r="A30" s="11" t="inlineStr">
        <is>
          <t>D-8</t>
        </is>
      </c>
      <c r="B30" s="12" t="inlineStr">
        <is>
          <t>M-06 Clientes / Proveedores</t>
        </is>
      </c>
      <c r="C30" s="12" t="inlineStr">
        <is>
          <t>Un solo maestro de terceros</t>
        </is>
      </c>
      <c r="D30" s="12" t="inlineStr">
        <is>
          <t>(a) Clientes y proveedores separados (v2.2) · (b) Unificados con tipo y rubro</t>
        </is>
      </c>
      <c r="E30" s="12" t="inlineStr">
        <is>
          <t>(b) DECIDIDO POR EL MODELO: un CUIT, un registro; tipo cliente / proveedor / ambos y rubro múltiple (importador, trader, transporte, estiba, rental…). Los transportistas son proveedores de rubro transporte.</t>
        </is>
      </c>
      <c r="F30" s="12" t="inlineStr">
        <is>
          <t>—</t>
        </is>
      </c>
      <c r="G30" s="12" t="inlineStr">
        <is>
          <t>Decidida (modelo)</t>
        </is>
      </c>
    </row>
    <row r="31">
      <c r="A31" s="11" t="inlineStr">
        <is>
          <t>D-9</t>
        </is>
      </c>
      <c r="B31" s="12" t="inlineStr">
        <is>
          <t>M-14 Tipos de servicios</t>
        </is>
      </c>
      <c r="C31" s="12" t="inlineStr">
        <is>
          <t>Modalidad de operación</t>
        </is>
      </c>
      <c r="D31" s="12" t="inlineStr">
        <is>
          <t>(a) Maestro MD-12 Modalidad (v2.2) · (b) Atributo del contrato / operativo</t>
        </is>
      </c>
      <c r="E31" s="12" t="inlineStr">
        <is>
          <t>(b) DECIDIDO POR EL MODELO: la modalidad (DIRECTO · DEPOSITO · SATELITE · FISCAL) es un atributo de M-16 Contratos (modalidad_por_defecto) y del Operativo; el tipo de servicio (M-14) define componentes y recursos.</t>
        </is>
      </c>
      <c r="F31" s="12" t="inlineStr">
        <is>
          <t>—</t>
        </is>
      </c>
      <c r="G31" s="12" t="inlineStr">
        <is>
          <t>Decidida (modelo)</t>
        </is>
      </c>
    </row>
    <row r="32">
      <c r="A32" s="11" t="inlineStr">
        <is>
          <t>D-10</t>
        </is>
      </c>
      <c r="B32" s="12" t="inlineStr">
        <is>
          <t>M-21 Agencia / Armador</t>
        </is>
      </c>
      <c r="C32" s="12" t="inlineStr">
        <is>
          <t>Organismos y documentos exigidos</t>
        </is>
      </c>
      <c r="D32" s="12" t="inlineStr">
        <is>
          <t>(a) Maestros MD-36 / MD-37 (v2.2) · (b) Reglas del circuito</t>
        </is>
      </c>
      <c r="E32" s="12" t="inlineStr">
        <is>
          <t>(b) DECIDIDO POR EL MODELO: la documentación del buque (BL, manifiesto, plan de bodegas, despacho, certificado de calidad, habilitación aduanera) y el plazo ante Aduana (20 días) son reglas del proceso; el faltante se reclama a la agencia (M-21).</t>
        </is>
      </c>
      <c r="F32" s="12" t="inlineStr">
        <is>
          <t>Si en la práctica la lista de documentos cambia por cliente / régimen, revisar si conviene un catálogo parametrizable.</t>
        </is>
      </c>
      <c r="G32" s="12" t="inlineStr">
        <is>
          <t>Decidida (modelo) — revisar en sesión</t>
        </is>
      </c>
    </row>
    <row r="33">
      <c r="A33" s="11" t="inlineStr">
        <is>
          <t>D-11</t>
        </is>
      </c>
      <c r="B33" s="12" t="inlineStr">
        <is>
          <t>M-07 Productos</t>
        </is>
      </c>
      <c r="C33" s="12" t="inlineStr">
        <is>
          <t>Familia como atributo</t>
        </is>
      </c>
      <c r="D33" s="12" t="inlineStr">
        <is>
          <t>(a) Maestro MD-13 Familia (v2.2) · (b) Enumerado en el producto</t>
        </is>
      </c>
      <c r="E33" s="12" t="inlineStr">
        <is>
          <t>(b) DECIDIDO POR EL MODELO: familia es un enumerado del producto; la merma teórica pasa a ser atributo del producto (antes de la familia).</t>
        </is>
      </c>
      <c r="F33" s="12" t="inlineStr">
        <is>
          <t>—</t>
        </is>
      </c>
      <c r="G33" s="12" t="inlineStr">
        <is>
          <t>Decidida (modelo)</t>
        </is>
      </c>
    </row>
    <row r="34">
      <c r="A34" s="11" t="inlineStr">
        <is>
          <t>D-12</t>
        </is>
      </c>
      <c r="B34" s="12" t="inlineStr">
        <is>
          <t>M-10a Celdas · boxes · tanques</t>
        </is>
      </c>
      <c r="C34" s="12" t="inlineStr">
        <is>
          <t>Reserva de espacio para un cliente</t>
        </is>
      </c>
      <c r="D34" s="12" t="inlineStr">
        <is>
          <t>(a) cliente_exclusivo en la ubicación (v2.2) · (b) espacio_asignado en el contrato</t>
        </is>
      </c>
      <c r="E34" s="12" t="inlineStr">
        <is>
          <t>(b) DECIDIDO POR EL MODELO: la reserva es del contrato (M-16.espacio_asignado → Ref. M-10a múltiple); la ubicación no conoce al cliente.</t>
        </is>
      </c>
      <c r="F34" s="12" t="inlineStr">
        <is>
          <t>—</t>
        </is>
      </c>
      <c r="G34" s="12" t="inlineStr">
        <is>
          <t>Decidida (modelo)</t>
        </is>
      </c>
    </row>
    <row r="35">
      <c r="A35" s="11" t="inlineStr">
        <is>
          <t>D-13</t>
        </is>
      </c>
      <c r="B35" s="12" t="inlineStr">
        <is>
          <t>M-11 Transporte</t>
        </is>
      </c>
      <c r="C35" s="12" t="inlineStr">
        <is>
          <t>Propiedad de la unidad</t>
        </is>
      </c>
      <c r="D35" s="12" t="inlineStr">
        <is>
          <t>(a) Por el transportista (MD-21.es_flota_propia) · (b) Atributo propiedad en la unidad</t>
        </is>
      </c>
      <c r="E35" s="12" t="inlineStr">
        <is>
          <t>(b) DECIDIDO POR EL MODELO: propiedad propia / tercero en la unidad; transportista (Ref. M-06) solo si es de tercero.</t>
        </is>
      </c>
      <c r="F35" s="12" t="inlineStr">
        <is>
          <t>—</t>
        </is>
      </c>
      <c r="G35" s="12" t="inlineStr">
        <is>
          <t>Decidida (modelo)</t>
        </is>
      </c>
    </row>
    <row r="36">
      <c r="A36" s="15" t="inlineStr">
        <is>
          <t>D-14</t>
        </is>
      </c>
      <c r="B36" s="16" t="inlineStr">
        <is>
          <t>M-01 · M-06 · M-08 · M-21 · M-22 · M-28</t>
        </is>
      </c>
      <c r="C36" s="16" t="inlineStr">
        <is>
          <t>Clave natural vs. clave de referencia</t>
        </is>
      </c>
      <c r="D36" s="16" t="inlineStr">
        <is>
          <t>El modelo define claves naturales (CUIT, IMO, legajo, identificación fiscal); el sistema referencia por código interno</t>
        </is>
      </c>
      <c r="E36" s="16" t="inlineStr">
        <is>
          <t>Validar unicidad por la clave natural del modelo en el ABM y referenciar entre maestros por código interno (clave subrogada legible). Ambas conviven.</t>
        </is>
      </c>
      <c r="F36" s="16" t="inlineStr">
        <is>
          <t>Duplicados por CUIT / IMO si solo se controla el código.</t>
        </is>
      </c>
      <c r="G36" s="16" t="inlineStr">
        <is>
          <t>Abierta</t>
        </is>
      </c>
    </row>
    <row r="37">
      <c r="A37" s="35" t="inlineStr">
        <is>
          <t>D-15</t>
        </is>
      </c>
      <c r="B37" s="36" t="inlineStr">
        <is>
          <t>M-32 Arribos ferroviarios</t>
        </is>
      </c>
      <c r="C37" s="36" t="inlineStr">
        <is>
          <t>Tarea propia para la descarga / carga de vagones</t>
        </is>
      </c>
      <c r="D37" s="36" t="inlineStr">
        <is>
          <t>(a) Fila "arribo por ferrocarril" en la matriz servicio → tareas que exige MAQUINARIA · BALANZA · DOTACIÓN · TURNOS (adoptada en la maqueta) · (b) tarea nueva PLAYA DE VÍAS con sector dueño Logística</t>
        </is>
      </c>
      <c r="E37" s="36" t="inlineStr">
        <is>
          <t>(a) para arrancar: reutiliza tareas existentes y no agrega actividad al workflow; pasar a (b) si la playa de vías tiene recursos propios (locotractor, tolvas de vagón).</t>
        </is>
      </c>
      <c r="F37" s="36" t="inlineStr">
        <is>
          <t>Plan incompleto o duplicado para los operativos por tren.</t>
        </is>
      </c>
      <c r="G37" s="36" t="inlineStr">
        <is>
          <t>Abierta</t>
        </is>
      </c>
    </row>
    <row r="38">
      <c r="A38" s="35" t="inlineStr">
        <is>
          <t>D-16</t>
        </is>
      </c>
      <c r="B38" s="36" t="inlineStr">
        <is>
          <t>M-17 · M-31 · M-32</t>
        </is>
      </c>
      <c r="C38" s="36" t="inlineStr">
        <is>
          <t>Corrección de un dato del tramo ajeno</t>
        </is>
      </c>
      <c r="D38" s="36" t="inlineStr">
        <is>
          <t>(a) Solo Máster data / Administrador, con motivo (propuesta) · (b) orden de servicio al rol dueño del tramo · (c) cualquiera de los dos roles</t>
        </is>
      </c>
      <c r="E38" s="36" t="inlineStr">
        <is>
          <t>(a): mantiene la responsabilidad por tramo y deja traza; (b) es más lento; (c) diluye la responsabilidad.</t>
        </is>
      </c>
      <c r="F38" s="36" t="inlineStr">
        <is>
          <t>Datos del programa pisados sin responsable claro.</t>
        </is>
      </c>
      <c r="G38" s="36" t="inlineStr">
        <is>
          <t>Abierta</t>
        </is>
      </c>
    </row>
    <row r="39">
      <c r="A39" s="35" t="inlineStr">
        <is>
          <t>D-17</t>
        </is>
      </c>
      <c r="B39" s="36" t="inlineStr">
        <is>
          <t>Operativo · M-10 · M-26</t>
        </is>
      </c>
      <c r="C39" s="36" t="inlineStr">
        <is>
          <t>Estado aduanero "mixta por BL"</t>
        </is>
      </c>
      <c r="D39" s="36" t="inlineStr">
        <is>
          <t>(a) Tratar como no nacionalizada hasta que se nacionalice la parte (adoptada) · (b) dividir el operativo en dos (nacional / fiscal) · (c) marcar por BL dentro del mismo operativo</t>
        </is>
      </c>
      <c r="E39" s="36" t="inlineStr">
        <is>
          <t>(a) para la maqueta; evaluar (c) si la mezcla nacional / fiscal en un mismo buque es frecuente.</t>
        </is>
      </c>
      <c r="F39" s="36" t="inlineStr">
        <is>
          <t>Depósitos y balanzas mal filtrados para la parte fiscal.</t>
        </is>
      </c>
      <c r="G39" s="36" t="inlineStr">
        <is>
          <t>Abierta</t>
        </is>
      </c>
    </row>
    <row r="40">
      <c r="A40" s="35" t="inlineStr">
        <is>
          <t>D-18</t>
        </is>
      </c>
      <c r="B40" s="36" t="inlineStr">
        <is>
          <t>M-34 Métodos seguros</t>
        </is>
      </c>
      <c r="C40" s="36" t="inlineStr">
        <is>
          <t>Obligatoriedad del MS por maestro</t>
        </is>
      </c>
      <c r="D40" s="36" t="inlineStr">
        <is>
          <t>(a) Obligatorio en productos, depósitos, transporte, maquinaria, manos, tipos de servicio, muelles y balanzas; opcional en ubicaciones, puestos e insumos (adoptada) · (b) obligatorio en todos · (c) solo alerta, nunca bloquea</t>
        </is>
      </c>
      <c r="E40" s="36" t="inlineStr">
        <is>
          <t>(a): bloquea donde el riesgo es propio del recurso y no frena la carga inicial en los demás; (b) frena la migración; (c) no cumple "debe haber un procedimiento que avale la gestión".</t>
        </is>
      </c>
      <c r="F40" s="36" t="inlineStr">
        <is>
          <t>Recursos operando sin procedimiento vigente o migración frenada.</t>
        </is>
      </c>
      <c r="G40" s="36" t="inlineStr">
        <is>
          <t>Abierta</t>
        </is>
      </c>
    </row>
  </sheetData>
  <dataValidations count="1">
    <dataValidation sqref="F2:F19" showDropDown="0" showInputMessage="0" showErrorMessage="0" allowBlank="1" type="list">
      <formula1>"Pendiente,Validado,Con cambios,Eliminar"</formula1>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A6A6A6"/>
    <outlinePr summaryBelow="1" summaryRight="1"/>
    <pageSetUpPr/>
  </sheetPr>
  <dimension ref="A1:K59"/>
  <sheetViews>
    <sheetView zoomScaleNormal="100" workbookViewId="0">
      <pane xSplit="3" ySplit="1" topLeftCell="D2" activePane="bottomRight" state="frozen"/>
      <selection pane="topRight" activeCell="D1" sqref="D1"/>
      <selection pane="bottomLeft" activeCell="A5" sqref="A5"/>
      <selection pane="bottomRight" activeCell="A1" sqref="A1:XFD1"/>
    </sheetView>
  </sheetViews>
  <sheetFormatPr baseColWidth="10" defaultColWidth="8.6328125" defaultRowHeight="14.5"/>
  <cols>
    <col width="9" customWidth="1" min="1" max="1"/>
    <col width="15" customWidth="1" min="2" max="2"/>
    <col width="9" customWidth="1" min="3" max="3"/>
    <col width="30" customWidth="1" min="4" max="4"/>
    <col width="58" customWidth="1" min="5" max="5"/>
    <col width="34" customWidth="1" min="6" max="6"/>
    <col width="42" customWidth="1" min="7" max="7"/>
    <col width="24" customWidth="1" min="8" max="8"/>
    <col width="28" customWidth="1" min="9" max="9"/>
    <col width="15" customWidth="1" min="10" max="10"/>
    <col width="40" customWidth="1" min="11" max="11"/>
  </cols>
  <sheetData>
    <row r="1" ht="30" customFormat="1" customHeight="1" s="28">
      <c r="A1" s="27" t="inlineStr">
        <is>
          <t>Maestro</t>
        </is>
      </c>
      <c r="B1" s="27" t="inlineStr">
        <is>
          <t>Tipo</t>
        </is>
      </c>
      <c r="C1" s="27" t="inlineStr">
        <is>
          <t>Código</t>
        </is>
      </c>
      <c r="D1" s="27" t="inlineStr">
        <is>
          <t>Nombre de la regla</t>
        </is>
      </c>
      <c r="E1" s="27" t="inlineStr">
        <is>
          <t>Qué controla / qué hace</t>
        </is>
      </c>
      <c r="F1" s="27" t="inlineStr">
        <is>
          <t>Cuándo se aplica / quién la dispara</t>
        </is>
      </c>
      <c r="G1" s="27" t="inlineStr">
        <is>
          <t>Consecuencia o destinatario</t>
        </is>
      </c>
      <c r="H1" s="27" t="inlineStr">
        <is>
          <t>Parámetro (dónde se ajusta)</t>
        </is>
      </c>
      <c r="I1" s="27" t="inlineStr">
        <is>
          <t>Transacciones relacionadas</t>
        </is>
      </c>
      <c r="J1" s="27" t="inlineStr">
        <is>
          <t>Revisión en sesión</t>
        </is>
      </c>
      <c r="K1" s="27" t="inlineStr">
        <is>
          <t>Comentarios del equipo</t>
        </is>
      </c>
    </row>
    <row r="2" ht="62.5" customHeight="1">
      <c r="A2" s="9" t="inlineStr">
        <is>
          <t>M-17</t>
        </is>
      </c>
      <c r="B2" s="9" t="inlineStr">
        <is>
          <t>ABM</t>
        </is>
      </c>
      <c r="C2" s="8" t="inlineStr">
        <is>
          <t>ABM-1</t>
        </is>
      </c>
      <c r="D2" s="9" t="inlineStr">
        <is>
          <t>Alta por aviso del cliente</t>
        </is>
      </c>
      <c r="E2" s="9" t="inlineStr">
        <is>
          <t>Crea la fila con nominado_a_tys = Sí, fuente = aviso del cliente, y la cruza con el LineUp del puerto: si el buque ya estaba, vincula en lugar de duplicar.</t>
        </is>
      </c>
      <c r="F2" s="9" t="inlineStr">
        <is>
          <t>Comercial / Operaciones en TX-01</t>
        </is>
      </c>
      <c r="G2" s="9" t="inlineStr">
        <is>
          <t>Solicita quien registra el aviso; valida el curador de Operaciones Portuarias.</t>
        </is>
      </c>
      <c r="H2" s="9" t="inlineStr">
        <is>
          <t>—</t>
        </is>
      </c>
      <c r="I2" s="9" t="inlineStr">
        <is>
          <t>TX-01 · TX-02 · TX-09 · EV-01 · EV-09 · EV-16 · Dispara EV-01 si la información mínima está completa (TX-01 → TX-02 si falta).</t>
        </is>
      </c>
      <c r="J2" s="10" t="inlineStr">
        <is>
          <t>Pendiente</t>
        </is>
      </c>
      <c r="K2" s="10" t="n"/>
    </row>
    <row r="3" ht="50" customHeight="1">
      <c r="A3" s="16" t="inlineStr">
        <is>
          <t>M-17</t>
        </is>
      </c>
      <c r="B3" s="16" t="inlineStr">
        <is>
          <t>ABM</t>
        </is>
      </c>
      <c r="C3" s="15" t="inlineStr">
        <is>
          <t>ABM-2</t>
        </is>
      </c>
      <c r="D3" s="16" t="inlineStr">
        <is>
          <t>Alta / actualización por importación</t>
        </is>
      </c>
      <c r="E3" s="16" t="inlineStr">
        <is>
          <t>Parsea cada formato, normaliza, homologa por alias y genera una versión nueva de cada fila cambiada. Lo no homologable queda en alta provisoria (72 h).</t>
        </is>
      </c>
      <c r="F3" s="16" t="inlineStr">
        <is>
          <t>Importación diaria de los LineUps (agencias, CGPSN, terminales)</t>
        </is>
      </c>
      <c r="G3" s="16" t="inlineStr">
        <is>
          <t>El proceso automático es el solicitante; el curador homologa y autoriza en lote.</t>
        </is>
      </c>
      <c r="H3" s="16" t="inlineStr">
        <is>
          <t>—</t>
        </is>
      </c>
      <c r="I3" s="16" t="inlineStr">
        <is>
          <t>TX-01 · TX-02 · TX-09 · EV-01 · EV-09 · EV-16 · Nunca sobreescribe: cada import es una versión con fecha_version.</t>
        </is>
      </c>
      <c r="J3" s="10" t="inlineStr">
        <is>
          <t>Pendiente</t>
        </is>
      </c>
      <c r="K3" s="10" t="n"/>
    </row>
    <row r="4" ht="62.5" customHeight="1">
      <c r="A4" s="9" t="inlineStr">
        <is>
          <t>M-17</t>
        </is>
      </c>
      <c r="B4" s="9" t="inlineStr">
        <is>
          <t>ABM</t>
        </is>
      </c>
      <c r="C4" s="8" t="inlineStr">
        <is>
          <t>ABM-3</t>
        </is>
      </c>
      <c r="D4" s="9" t="inlineStr">
        <is>
          <t>Alta manual</t>
        </is>
      </c>
      <c r="E4" s="9" t="inlineStr">
        <is>
          <t>Formulario con los obligatorios; referencias, no texto.</t>
        </is>
      </c>
      <c r="F4" s="9" t="inlineStr">
        <is>
          <t>Operaciones Portuarias</t>
        </is>
      </c>
      <c r="G4" s="9" t="inlineStr">
        <is>
          <t>Solicitante ≠ autorizante.</t>
        </is>
      </c>
      <c r="H4" s="9" t="inlineStr">
        <is>
          <t>—</t>
        </is>
      </c>
      <c r="I4" s="9" t="inlineStr">
        <is>
          <t>TX-01 · TX-02 · TX-09 · EV-01 · EV-09 · EV-16 · Para buques que llegan por teléfono / WhatsApp y todavía no están en ningún LineUp.</t>
        </is>
      </c>
      <c r="J4" s="10" t="inlineStr">
        <is>
          <t>Pendiente</t>
        </is>
      </c>
      <c r="K4" s="10" t="n"/>
    </row>
    <row r="5" ht="50" customHeight="1">
      <c r="A5" s="16" t="inlineStr">
        <is>
          <t>M-17</t>
        </is>
      </c>
      <c r="B5" s="16" t="inlineStr">
        <is>
          <t>ABM</t>
        </is>
      </c>
      <c r="C5" s="15" t="inlineStr">
        <is>
          <t>ABM-4</t>
        </is>
      </c>
      <c r="D5" s="16" t="inlineStr">
        <is>
          <t>Modificación de fechas (ETA / ETB / ETC)</t>
        </is>
      </c>
      <c r="E5" s="16" t="inlineStr">
        <is>
          <t>Guarda el valor anterior y el nuevo; si la variación supera la tolerancia de M-20 emite la alerta AL-2 y recalcula la antelación (TX-03).</t>
        </is>
      </c>
      <c r="F5" s="16" t="inlineStr">
        <is>
          <t>Import · TX-09 (ETA actualizado) · agencia</t>
        </is>
      </c>
      <c r="G5" s="16" t="inlineStr">
        <is>
          <t>Automática; el cambio manual exige motivo.</t>
        </is>
      </c>
      <c r="H5" s="16" t="inlineStr">
        <is>
          <t>—</t>
        </is>
      </c>
      <c r="I5" s="16" t="inlineStr">
        <is>
          <t>TX-01 · TX-02 · TX-09 · EV-01 · EV-09 · EV-16 · Es el cambio más frecuente: la clave del modelo es que quede trazado.</t>
        </is>
      </c>
      <c r="J5" s="10" t="inlineStr">
        <is>
          <t>Pendiente</t>
        </is>
      </c>
      <c r="K5" s="10" t="n"/>
    </row>
    <row r="6" ht="50" customHeight="1">
      <c r="A6" s="9" t="inlineStr">
        <is>
          <t>M-17</t>
        </is>
      </c>
      <c r="B6" s="9" t="inlineStr">
        <is>
          <t>ABM</t>
        </is>
      </c>
      <c r="C6" s="8" t="inlineStr">
        <is>
          <t>ABM-5</t>
        </is>
      </c>
      <c r="D6" s="9" t="inlineStr">
        <is>
          <t>Homologación</t>
        </is>
      </c>
      <c r="E6" s="9" t="inlineStr">
        <is>
          <t>Reemplaza los textos de fuente por referencias (M-08, M-06, M-07, M-21); si el maestro no existe, abre su alta desde acá.</t>
        </is>
      </c>
      <c r="F6" s="9" t="inlineStr">
        <is>
          <t>Curador de Operaciones Portuarias</t>
        </is>
      </c>
      <c r="G6" s="9" t="inlineStr">
        <is>
          <t>Quien homologa no es quien importó.</t>
        </is>
      </c>
      <c r="H6" s="9" t="inlineStr">
        <is>
          <t>—</t>
        </is>
      </c>
      <c r="I6" s="9" t="inlineStr">
        <is>
          <t>TX-01 · TX-02 · TX-09 · EV-01 · EV-09 · EV-16 · Vencida la provisoria (72 h) la fila se suspende y no alimenta paneles.</t>
        </is>
      </c>
      <c r="J6" s="10" t="inlineStr">
        <is>
          <t>Pendiente</t>
        </is>
      </c>
      <c r="K6" s="10" t="n"/>
    </row>
    <row r="7" ht="50" customHeight="1">
      <c r="A7" s="16" t="inlineStr">
        <is>
          <t>M-17</t>
        </is>
      </c>
      <c r="B7" s="16" t="inlineStr">
        <is>
          <t>ABM</t>
        </is>
      </c>
      <c r="C7" s="15" t="inlineStr">
        <is>
          <t>ABM-6</t>
        </is>
      </c>
      <c r="D7" s="16" t="inlineStr">
        <is>
          <t>Cambio de estado</t>
        </is>
      </c>
      <c r="E7" s="16" t="inlineStr">
        <is>
          <t>EV-01 → confirmado · EV-09 → operando · EV-16 → finalizado. Manual: en rada, atracado, cancelado.</t>
        </is>
      </c>
      <c r="F7" s="16" t="inlineStr">
        <is>
          <t>Eventos del circuito</t>
        </is>
      </c>
      <c r="G7" s="16" t="inlineStr">
        <is>
          <t>Automático desde eventos.</t>
        </is>
      </c>
      <c r="H7" s="16" t="inlineStr">
        <is>
          <t>—</t>
        </is>
      </c>
      <c r="I7" s="16" t="inlineStr">
        <is>
          <t>TX-01 · TX-02 · TX-09 · EV-01 · EV-09 · EV-16 · Sin cierre manual del operativo la fila nunca queda "finalizado".</t>
        </is>
      </c>
      <c r="J7" s="10" t="inlineStr">
        <is>
          <t>Pendiente</t>
        </is>
      </c>
      <c r="K7" s="10" t="n"/>
    </row>
    <row r="8" ht="50" customHeight="1">
      <c r="A8" s="9" t="inlineStr">
        <is>
          <t>M-17</t>
        </is>
      </c>
      <c r="B8" s="9" t="inlineStr">
        <is>
          <t>ABM</t>
        </is>
      </c>
      <c r="C8" s="8" t="inlineStr">
        <is>
          <t>ABM-7</t>
        </is>
      </c>
      <c r="D8" s="9" t="inlineStr">
        <is>
          <t>Baja lógica</t>
        </is>
      </c>
      <c r="E8" s="9" t="inlineStr">
        <is>
          <t>Solo "cancelado" o "fuera de interés"; nada se borra (CV-8). Las filas finalizadas se archivan y alimentan la capa analítica (estadía, antelación, ETA vs. real).</t>
        </is>
      </c>
      <c r="F8" s="9" t="inlineStr">
        <is>
          <t>Curador, con autorización</t>
        </is>
      </c>
      <c r="G8" s="9" t="inlineStr">
        <is>
          <t>Autorizante ≠ solicitante.</t>
        </is>
      </c>
      <c r="H8" s="9" t="inlineStr">
        <is>
          <t>—</t>
        </is>
      </c>
      <c r="I8" s="9" t="inlineStr">
        <is>
          <t>TX-01 · TX-02 · TX-09 · EV-01 · EV-09 · EV-16 · El histórico es el insumo del caso de IA "ETA / atraque".</t>
        </is>
      </c>
      <c r="J8" s="10" t="inlineStr">
        <is>
          <t>Pendiente</t>
        </is>
      </c>
      <c r="K8" s="10" t="n"/>
    </row>
    <row r="9" ht="25" customHeight="1">
      <c r="A9" s="16" t="inlineStr">
        <is>
          <t>M-17</t>
        </is>
      </c>
      <c r="B9" s="16" t="inlineStr">
        <is>
          <t>Validación</t>
        </is>
      </c>
      <c r="C9" s="15" t="inlineStr">
        <is>
          <t>VA-1</t>
        </is>
      </c>
      <c r="D9" s="16" t="inlineStr">
        <is>
          <t>Clave natural única</t>
        </is>
      </c>
      <c r="E9" s="16" t="inlineStr">
        <is>
          <t>puerto + buque + fecha ETA + cliente + producto no puede repetirse entre filas vigentes.</t>
        </is>
      </c>
      <c r="F9" s="16" t="inlineStr">
        <is>
          <t>Alta e import</t>
        </is>
      </c>
      <c r="G9" s="16" t="inlineStr">
        <is>
          <t>Se vincula a la fila existente (nueva versión) en lugar de crear otra.</t>
        </is>
      </c>
      <c r="H9" s="16" t="inlineStr">
        <is>
          <t>—</t>
        </is>
      </c>
      <c r="I9" s="16" t="inlineStr">
        <is>
          <t>TX-01 · TX-02</t>
        </is>
      </c>
      <c r="J9" s="10" t="inlineStr">
        <is>
          <t>Pendiente</t>
        </is>
      </c>
      <c r="K9" s="10" t="n"/>
    </row>
    <row r="10">
      <c r="A10" s="9" t="inlineStr">
        <is>
          <t>M-17</t>
        </is>
      </c>
      <c r="B10" s="9" t="inlineStr">
        <is>
          <t>Validación</t>
        </is>
      </c>
      <c r="C10" s="8" t="inlineStr">
        <is>
          <t>VA-2</t>
        </is>
      </c>
      <c r="D10" s="9" t="inlineStr">
        <is>
          <t>Secuencia de fechas</t>
        </is>
      </c>
      <c r="E10" s="9" t="inlineStr">
        <is>
          <t>eta ≤ etb ≤ etc; ninguna anterior a fecha_version − 30 días.</t>
        </is>
      </c>
      <c r="F10" s="9" t="inlineStr">
        <is>
          <t>Alta y modificación</t>
        </is>
      </c>
      <c r="G10" s="9" t="inlineStr">
        <is>
          <t>Fila en borrador con motivo; no alimenta paneles.</t>
        </is>
      </c>
      <c r="H10" s="9" t="inlineStr">
        <is>
          <t>—</t>
        </is>
      </c>
      <c r="I10" s="9" t="inlineStr">
        <is>
          <t>TX-01 · TX-02</t>
        </is>
      </c>
      <c r="J10" s="10" t="inlineStr">
        <is>
          <t>Pendiente</t>
        </is>
      </c>
      <c r="K10" s="10" t="n"/>
    </row>
    <row r="11" ht="25" customHeight="1">
      <c r="A11" s="16" t="inlineStr">
        <is>
          <t>M-17</t>
        </is>
      </c>
      <c r="B11" s="16" t="inlineStr">
        <is>
          <t>Validación</t>
        </is>
      </c>
      <c r="C11" s="15" t="inlineStr">
        <is>
          <t>VA-3</t>
        </is>
      </c>
      <c r="D11" s="16" t="inlineStr">
        <is>
          <t>Tonelaje</t>
        </is>
      </c>
      <c r="E11" s="16" t="inlineStr">
        <is>
          <t>toneladas_nominadas &gt; 0; toneladas_para_tys ≤ toneladas_nominadas.</t>
        </is>
      </c>
      <c r="F11" s="16" t="inlineStr">
        <is>
          <t>Alta y modificación</t>
        </is>
      </c>
      <c r="G11" s="16" t="inlineStr">
        <is>
          <t>Borrador ("sin TM").</t>
        </is>
      </c>
      <c r="H11" s="16" t="inlineStr">
        <is>
          <t>—</t>
        </is>
      </c>
      <c r="I11" s="16" t="inlineStr">
        <is>
          <t>TX-01 · TX-02</t>
        </is>
      </c>
      <c r="J11" s="10" t="inlineStr">
        <is>
          <t>Pendiente</t>
        </is>
      </c>
      <c r="K11" s="10" t="n"/>
    </row>
    <row r="12" ht="25" customHeight="1">
      <c r="A12" s="9" t="inlineStr">
        <is>
          <t>M-17</t>
        </is>
      </c>
      <c r="B12" s="9" t="inlineStr">
        <is>
          <t>Validación</t>
        </is>
      </c>
      <c r="C12" s="8" t="inlineStr">
        <is>
          <t>VA-4</t>
        </is>
      </c>
      <c r="D12" s="9" t="inlineStr">
        <is>
          <t>Referencias si es de TyS</t>
        </is>
      </c>
      <c r="E12" s="9" t="inlineStr">
        <is>
          <t>nominado_a_tys = Sí exige buque, cliente, producto y agencia como referencias (no texto) y toneladas_para_tys.</t>
        </is>
      </c>
      <c r="F12" s="9" t="inlineStr">
        <is>
          <t>Al registrar el aviso (TX-01) y al homologar</t>
        </is>
      </c>
      <c r="G12" s="9" t="inlineStr">
        <is>
          <t>No dispara EV-01; deriva a TX-02 (datos faltantes).</t>
        </is>
      </c>
      <c r="H12" s="9" t="inlineStr">
        <is>
          <t>—</t>
        </is>
      </c>
      <c r="I12" s="9" t="inlineStr">
        <is>
          <t>TX-01 · TX-02</t>
        </is>
      </c>
      <c r="J12" s="10" t="inlineStr">
        <is>
          <t>Pendiente</t>
        </is>
      </c>
      <c r="K12" s="10" t="n"/>
    </row>
    <row r="13">
      <c r="A13" s="16" t="inlineStr">
        <is>
          <t>M-17</t>
        </is>
      </c>
      <c r="B13" s="16" t="inlineStr">
        <is>
          <t>Validación</t>
        </is>
      </c>
      <c r="C13" s="15" t="inlineStr">
        <is>
          <t>VA-5</t>
        </is>
      </c>
      <c r="D13" s="16" t="inlineStr">
        <is>
          <t>Sitio coherente con el puerto</t>
        </is>
      </c>
      <c r="E13" s="16" t="inlineStr">
        <is>
          <t>Si puerto es propio, sitio_atraque debe ser Ref. M-25 de esa planta.</t>
        </is>
      </c>
      <c r="F13" s="16" t="inlineStr">
        <is>
          <t>Alta y modificación</t>
        </is>
      </c>
      <c r="G13" s="16" t="inlineStr">
        <is>
          <t>Rechazo con motivo.</t>
        </is>
      </c>
      <c r="H13" s="16" t="inlineStr">
        <is>
          <t>—</t>
        </is>
      </c>
      <c r="I13" s="16" t="inlineStr">
        <is>
          <t>TX-01 · TX-02</t>
        </is>
      </c>
      <c r="J13" s="10" t="inlineStr">
        <is>
          <t>Pendiente</t>
        </is>
      </c>
      <c r="K13" s="10" t="n"/>
    </row>
    <row r="14" ht="25" customHeight="1">
      <c r="A14" s="9" t="inlineStr">
        <is>
          <t>M-17</t>
        </is>
      </c>
      <c r="B14" s="9" t="inlineStr">
        <is>
          <t>Validación</t>
        </is>
      </c>
      <c r="C14" s="8" t="inlineStr">
        <is>
          <t>VA-6</t>
        </is>
      </c>
      <c r="D14" s="9" t="inlineStr">
        <is>
          <t>Producto admitido en el sitio</t>
        </is>
      </c>
      <c r="E14" s="9" t="inlineStr">
        <is>
          <t>Producto ∈ productos_admitidos de M-25 (puertos propios).</t>
        </is>
      </c>
      <c r="F14" s="9" t="inlineStr">
        <is>
          <t>Al confirmar (EV-01)</t>
        </is>
      </c>
      <c r="G14" s="9" t="inlineStr">
        <is>
          <t>Alerta a Operaciones Portuarias; no bloquea el LineUp externo.</t>
        </is>
      </c>
      <c r="H14" s="9" t="inlineStr">
        <is>
          <t>—</t>
        </is>
      </c>
      <c r="I14" s="9" t="inlineStr">
        <is>
          <t>TX-01 · TX-02</t>
        </is>
      </c>
      <c r="J14" s="10" t="inlineStr">
        <is>
          <t>Pendiente</t>
        </is>
      </c>
      <c r="K14" s="10" t="n"/>
    </row>
    <row r="15">
      <c r="A15" s="16" t="inlineStr">
        <is>
          <t>M-17</t>
        </is>
      </c>
      <c r="B15" s="16" t="inlineStr">
        <is>
          <t>Validación</t>
        </is>
      </c>
      <c r="C15" s="15" t="inlineStr">
        <is>
          <t>VA-7</t>
        </is>
      </c>
      <c r="D15" s="16" t="inlineStr">
        <is>
          <t>Provisoria vencida</t>
        </is>
      </c>
      <c r="E15" s="16" t="inlineStr">
        <is>
          <t>homologado = No por más de 72 h.</t>
        </is>
      </c>
      <c r="F15" s="16" t="inlineStr">
        <is>
          <t>Diario</t>
        </is>
      </c>
      <c r="G15" s="16" t="inlineStr">
        <is>
          <t>Suspende la fila y notifica al curador.</t>
        </is>
      </c>
      <c r="H15" s="16" t="inlineStr">
        <is>
          <t>—</t>
        </is>
      </c>
      <c r="I15" s="16" t="inlineStr">
        <is>
          <t>TX-01 · TX-02</t>
        </is>
      </c>
      <c r="J15" s="10" t="inlineStr">
        <is>
          <t>Pendiente</t>
        </is>
      </c>
      <c r="K15" s="10" t="n"/>
    </row>
    <row r="16" ht="25" customHeight="1">
      <c r="A16" s="9" t="inlineStr">
        <is>
          <t>M-17</t>
        </is>
      </c>
      <c r="B16" s="9" t="inlineStr">
        <is>
          <t>Validación</t>
        </is>
      </c>
      <c r="C16" s="8" t="inlineStr">
        <is>
          <t>VA-8</t>
        </is>
      </c>
      <c r="D16" s="9" t="inlineStr">
        <is>
          <t>Enumerados cerrados</t>
        </is>
      </c>
      <c r="E16" s="9" t="inlineStr">
        <is>
          <t>tipo_operacion, estado, fuente y alcance_geografico solo admiten los valores del dominio.</t>
        </is>
      </c>
      <c r="F16" s="9" t="inlineStr">
        <is>
          <t>Alta e import</t>
        </is>
      </c>
      <c r="G16" s="9" t="inlineStr">
        <is>
          <t>Valor desconocido → observaciones + borrador.</t>
        </is>
      </c>
      <c r="H16" s="9" t="inlineStr">
        <is>
          <t>—</t>
        </is>
      </c>
      <c r="I16" s="9" t="inlineStr">
        <is>
          <t>TX-01 · TX-02</t>
        </is>
      </c>
      <c r="J16" s="10" t="inlineStr">
        <is>
          <t>Pendiente</t>
        </is>
      </c>
      <c r="K16" s="10" t="n"/>
    </row>
    <row r="17" ht="25" customHeight="1">
      <c r="A17" s="16" t="inlineStr">
        <is>
          <t>M-17</t>
        </is>
      </c>
      <c r="B17" s="16" t="inlineStr">
        <is>
          <t>Automatización</t>
        </is>
      </c>
      <c r="C17" s="15" t="inlineStr">
        <is>
          <t>A-1</t>
        </is>
      </c>
      <c r="D17" s="16" t="inlineStr">
        <is>
          <t>Importación diaria multi-formato</t>
        </is>
      </c>
      <c r="E17" s="16" t="inlineStr">
        <is>
          <t>Lee las planillas / correos de LineUp (formato agencia y formato PSN / CGPSN), descarta subtotales, normaliza y carga versiones.</t>
        </is>
      </c>
      <c r="F17" s="16" t="inlineStr">
        <is>
          <t>Insumo: LineUps recibidos + tabla de alias</t>
        </is>
      </c>
      <c r="G17" s="16" t="inlineStr">
        <is>
          <t>Elimina la consolidación manual de la hoja "Integrado".</t>
        </is>
      </c>
      <c r="H17" s="16" t="inlineStr">
        <is>
          <t>—</t>
        </is>
      </c>
      <c r="I17" s="16" t="inlineStr">
        <is>
          <t>TX-01 · TX-03 · TX-09 · TX-11 · TX-14</t>
        </is>
      </c>
      <c r="J17" s="10" t="inlineStr">
        <is>
          <t>Pendiente</t>
        </is>
      </c>
      <c r="K17" s="10" t="n"/>
    </row>
    <row r="18" ht="37.5" customHeight="1">
      <c r="A18" s="9" t="inlineStr">
        <is>
          <t>M-17</t>
        </is>
      </c>
      <c r="B18" s="9" t="inlineStr">
        <is>
          <t>Automatización</t>
        </is>
      </c>
      <c r="C18" s="8" t="inlineStr">
        <is>
          <t>A-2</t>
        </is>
      </c>
      <c r="D18" s="9" t="inlineStr">
        <is>
          <t>Homologación asistida por alias</t>
        </is>
      </c>
      <c r="E18" s="9" t="inlineStr">
        <is>
          <t>Tabla de equivalencias buque / cliente / producto / puerto (ej. "TRIPLE" → SPT, "MT MC CALIPSO" → MC CALIPSO) que aprende con cada homologación confirmada.</t>
        </is>
      </c>
      <c r="F18" s="9" t="inlineStr">
        <is>
          <t>Insumo: M-08, M-06, M-07, M-09</t>
        </is>
      </c>
      <c r="G18" s="9" t="inlineStr">
        <is>
          <t>Reduce la homologación manual a los casos nuevos.</t>
        </is>
      </c>
      <c r="H18" s="9" t="inlineStr">
        <is>
          <t>—</t>
        </is>
      </c>
      <c r="I18" s="9" t="inlineStr">
        <is>
          <t>TX-01 · TX-03 · TX-09 · TX-11 · TX-14</t>
        </is>
      </c>
      <c r="J18" s="10" t="inlineStr">
        <is>
          <t>Pendiente</t>
        </is>
      </c>
      <c r="K18" s="10" t="n"/>
    </row>
    <row r="19" ht="25" customHeight="1">
      <c r="A19" s="16" t="inlineStr">
        <is>
          <t>M-17</t>
        </is>
      </c>
      <c r="B19" s="16" t="inlineStr">
        <is>
          <t>Automatización</t>
        </is>
      </c>
      <c r="C19" s="15" t="inlineStr">
        <is>
          <t>A-3</t>
        </is>
      </c>
      <c r="D19" s="16" t="inlineStr">
        <is>
          <t>Cruce aviso ↔ LineUp</t>
        </is>
      </c>
      <c r="E19" s="16" t="inlineStr">
        <is>
          <t>Al registrar TX-01 busca el buque en el LineUp y vincula; a la inversa, marca los buques del puerto sin aviso.</t>
        </is>
      </c>
      <c r="F19" s="16" t="inlineStr">
        <is>
          <t>Insumo: M-17 + TX-01</t>
        </is>
      </c>
      <c r="G19" s="16" t="inlineStr">
        <is>
          <t>Anticipa la nominación: hoy el aviso llega hasta con 1 día.</t>
        </is>
      </c>
      <c r="H19" s="16" t="inlineStr">
        <is>
          <t>—</t>
        </is>
      </c>
      <c r="I19" s="16" t="inlineStr">
        <is>
          <t>TX-01 · TX-03 · TX-09 · TX-11 · TX-14</t>
        </is>
      </c>
      <c r="J19" s="10" t="inlineStr">
        <is>
          <t>Pendiente</t>
        </is>
      </c>
      <c r="K19" s="10" t="n"/>
    </row>
    <row r="20" ht="25" customHeight="1">
      <c r="A20" s="9" t="inlineStr">
        <is>
          <t>M-17</t>
        </is>
      </c>
      <c r="B20" s="9" t="inlineStr">
        <is>
          <t>Automatización</t>
        </is>
      </c>
      <c r="C20" s="8" t="inlineStr">
        <is>
          <t>A-4</t>
        </is>
      </c>
      <c r="D20" s="9" t="inlineStr">
        <is>
          <t>Versionado de fechas</t>
        </is>
      </c>
      <c r="E20" s="9" t="inlineStr">
        <is>
          <t>Cada cambio de ETA / ETB / ETC genera versión y recalcula antelación (TX-03) y tiempo de espera (WT = ETB − ETA).</t>
        </is>
      </c>
      <c r="F20" s="9" t="inlineStr">
        <is>
          <t>Insumo: M-20 (tolerancia)</t>
        </is>
      </c>
      <c r="G20" s="9" t="inlineStr">
        <is>
          <t>Historia completa para KPI de estadía y para el modelo de ETA.</t>
        </is>
      </c>
      <c r="H20" s="9" t="inlineStr">
        <is>
          <t>M-20</t>
        </is>
      </c>
      <c r="I20" s="9" t="inlineStr">
        <is>
          <t>TX-01 · TX-03 · TX-09 · TX-11 · TX-14</t>
        </is>
      </c>
      <c r="J20" s="10" t="inlineStr">
        <is>
          <t>Pendiente</t>
        </is>
      </c>
      <c r="K20" s="10" t="n"/>
    </row>
    <row r="21" ht="25" customHeight="1">
      <c r="A21" s="16" t="inlineStr">
        <is>
          <t>M-17</t>
        </is>
      </c>
      <c r="B21" s="16" t="inlineStr">
        <is>
          <t>Automatización</t>
        </is>
      </c>
      <c r="C21" s="15" t="inlineStr">
        <is>
          <t>A-5</t>
        </is>
      </c>
      <c r="D21" s="16" t="inlineStr">
        <is>
          <t>Panel de buques proyectados</t>
        </is>
      </c>
      <c r="E21" s="16" t="inlineStr">
        <is>
          <t>Vista por puerto y sitio con ETB solapados y tonelaje proyectado, alimenta TX-11 (capacidad) y TX-14 (Consorcio).</t>
        </is>
      </c>
      <c r="F21" s="16" t="inlineStr">
        <is>
          <t>Insumo: M-17 + M-10 / M-10a + stock</t>
        </is>
      </c>
      <c r="G21" s="16" t="inlineStr">
        <is>
          <t>La reunión de las 14:00 y la del Consorcio con un dato único.</t>
        </is>
      </c>
      <c r="H21" s="16" t="inlineStr">
        <is>
          <t>—</t>
        </is>
      </c>
      <c r="I21" s="16" t="inlineStr">
        <is>
          <t>TX-01 · TX-03 · TX-09 · TX-11 · TX-14</t>
        </is>
      </c>
      <c r="J21" s="10" t="inlineStr">
        <is>
          <t>Pendiente</t>
        </is>
      </c>
      <c r="K21" s="10" t="n"/>
    </row>
    <row r="22" ht="25" customHeight="1">
      <c r="A22" s="9" t="inlineStr">
        <is>
          <t>M-17</t>
        </is>
      </c>
      <c r="B22" s="9" t="inlineStr">
        <is>
          <t>Automatización</t>
        </is>
      </c>
      <c r="C22" s="8" t="inlineStr">
        <is>
          <t>A-6</t>
        </is>
      </c>
      <c r="D22" s="9" t="inlineStr">
        <is>
          <t>Transición de estado por eventos</t>
        </is>
      </c>
      <c r="E22" s="9" t="inlineStr">
        <is>
          <t>EV-01 / EV-09 / EV-16 mueven estado sin intervención.</t>
        </is>
      </c>
      <c r="F22" s="9" t="inlineStr">
        <is>
          <t>Insumo: Bus de eventos</t>
        </is>
      </c>
      <c r="G22" s="9" t="inlineStr">
        <is>
          <t>El LineUp deja de "envejecer" sin que nadie lo cierre.</t>
        </is>
      </c>
      <c r="H22" s="9" t="inlineStr">
        <is>
          <t>—</t>
        </is>
      </c>
      <c r="I22" s="9" t="inlineStr">
        <is>
          <t>TX-01 · TX-03 · TX-09 · TX-11 · TX-14</t>
        </is>
      </c>
      <c r="J22" s="10" t="inlineStr">
        <is>
          <t>Pendiente</t>
        </is>
      </c>
      <c r="K22" s="10" t="n"/>
    </row>
    <row r="23" ht="25" customHeight="1">
      <c r="A23" s="16" t="inlineStr">
        <is>
          <t>M-17</t>
        </is>
      </c>
      <c r="B23" s="16" t="inlineStr">
        <is>
          <t>Automatización</t>
        </is>
      </c>
      <c r="C23" s="15" t="inlineStr">
        <is>
          <t>A-7</t>
        </is>
      </c>
      <c r="D23" s="16" t="inlineStr">
        <is>
          <t>Archivo y analítica</t>
        </is>
      </c>
      <c r="E23" s="16" t="inlineStr">
        <is>
          <t>Filas finalizadas → hechos de estadía (ETA vs. arribo real, WT, días de operación).</t>
        </is>
      </c>
      <c r="F23" s="16" t="inlineStr">
        <is>
          <t>Insumo: Capa 5 DWH</t>
        </is>
      </c>
      <c r="G23" s="16" t="inlineStr">
        <is>
          <t>K-01..04 y caso de IA "ETA / atraque".</t>
        </is>
      </c>
      <c r="H23" s="16" t="inlineStr">
        <is>
          <t>—</t>
        </is>
      </c>
      <c r="I23" s="16" t="inlineStr">
        <is>
          <t>TX-01 · TX-03 · TX-09 · TX-11 · TX-14</t>
        </is>
      </c>
      <c r="J23" s="10" t="inlineStr">
        <is>
          <t>Pendiente</t>
        </is>
      </c>
      <c r="K23" s="10" t="n"/>
    </row>
    <row r="24" ht="37.5" customHeight="1">
      <c r="A24" s="9" t="inlineStr">
        <is>
          <t>M-17</t>
        </is>
      </c>
      <c r="B24" s="9" t="inlineStr">
        <is>
          <t>Alerta</t>
        </is>
      </c>
      <c r="C24" s="8" t="inlineStr">
        <is>
          <t>AL-1</t>
        </is>
      </c>
      <c r="D24" s="9" t="inlineStr">
        <is>
          <t>Buque en el puerto sin aviso del cliente</t>
        </is>
      </c>
      <c r="E24" s="9" t="inlineStr">
        <is>
          <t>Fila con puerto propio o alcance SN y nominado_a_tys = No, producto de familia fertilizantes.</t>
        </is>
      </c>
      <c r="F24" s="9" t="inlineStr">
        <is>
          <t>Al importar / al modificar / diario</t>
        </is>
      </c>
      <c r="G24" s="9" t="inlineStr">
        <is>
          <t>Comercial · Operaciones Portuarias</t>
        </is>
      </c>
      <c r="H24" s="9" t="inlineStr">
        <is>
          <t>Inmediata al importar. Hoy se detecta mirando la planilla.</t>
        </is>
      </c>
      <c r="I24" s="9" t="inlineStr">
        <is>
          <t>TX-02 · TX-03 · TX-09 · TX-11 · TX-14</t>
        </is>
      </c>
      <c r="J24" s="10" t="inlineStr">
        <is>
          <t>Pendiente</t>
        </is>
      </c>
      <c r="K24" s="10" t="n"/>
    </row>
    <row r="25" ht="37.5" customHeight="1">
      <c r="A25" s="16" t="inlineStr">
        <is>
          <t>M-17</t>
        </is>
      </c>
      <c r="B25" s="16" t="inlineStr">
        <is>
          <t>Alerta</t>
        </is>
      </c>
      <c r="C25" s="15" t="inlineStr">
        <is>
          <t>AL-2</t>
        </is>
      </c>
      <c r="D25" s="16" t="inlineStr">
        <is>
          <t>Variación de ETA</t>
        </is>
      </c>
      <c r="E25" s="16" t="inlineStr">
        <is>
          <t>|ETA nueva − ETA anterior| &gt; tolerancia.</t>
        </is>
      </c>
      <c r="F25" s="16" t="inlineStr">
        <is>
          <t>Al importar / al modificar / diario</t>
        </is>
      </c>
      <c r="G25" s="16" t="inlineStr">
        <is>
          <t>Planificación (TX-09 / TX-11)</t>
        </is>
      </c>
      <c r="H25" s="16" t="inlineStr">
        <is>
          <t>Tolerancia en horas, parámetro M-20 (propuesta inicial: 24 h).</t>
        </is>
      </c>
      <c r="I25" s="16" t="inlineStr">
        <is>
          <t>TX-02 · TX-03 · TX-09 · TX-11 · TX-14</t>
        </is>
      </c>
      <c r="J25" s="10" t="inlineStr">
        <is>
          <t>Pendiente</t>
        </is>
      </c>
      <c r="K25" s="10" t="n"/>
    </row>
    <row r="26" ht="37.5" customHeight="1">
      <c r="A26" s="9" t="inlineStr">
        <is>
          <t>M-17</t>
        </is>
      </c>
      <c r="B26" s="9" t="inlineStr">
        <is>
          <t>Alerta</t>
        </is>
      </c>
      <c r="C26" s="8" t="inlineStr">
        <is>
          <t>AL-3</t>
        </is>
      </c>
      <c r="D26" s="9" t="inlineStr">
        <is>
          <t>Buque desaparecido del LineUp</t>
        </is>
      </c>
      <c r="E26" s="9" t="inlineStr">
        <is>
          <t>Fila nominada a TyS que no aparece en la última versión de la fuente que la originó.</t>
        </is>
      </c>
      <c r="F26" s="9" t="inlineStr">
        <is>
          <t>Al importar / al modificar / diario</t>
        </is>
      </c>
      <c r="G26" s="9" t="inlineStr">
        <is>
          <t>Operaciones Portuarias</t>
        </is>
      </c>
      <c r="H26" s="9" t="inlineStr">
        <is>
          <t>Puede ser cancelación o cambio de agencia: exige confirmación.</t>
        </is>
      </c>
      <c r="I26" s="9" t="inlineStr">
        <is>
          <t>TX-02 · TX-03 · TX-09 · TX-11 · TX-14</t>
        </is>
      </c>
      <c r="J26" s="10" t="inlineStr">
        <is>
          <t>Pendiente</t>
        </is>
      </c>
      <c r="K26" s="10" t="n"/>
    </row>
    <row r="27" ht="37.5" customHeight="1">
      <c r="A27" s="16" t="inlineStr">
        <is>
          <t>M-17</t>
        </is>
      </c>
      <c r="B27" s="16" t="inlineStr">
        <is>
          <t>Alerta</t>
        </is>
      </c>
      <c r="C27" s="15" t="inlineStr">
        <is>
          <t>AL-4</t>
        </is>
      </c>
      <c r="D27" s="16" t="inlineStr">
        <is>
          <t>Discrepancia entre fuentes</t>
        </is>
      </c>
      <c r="E27" s="16" t="inlineStr">
        <is>
          <t>Dos fuentes informan tonelaje o ETA distintos para la misma clave.</t>
        </is>
      </c>
      <c r="F27" s="16" t="inlineStr">
        <is>
          <t>Al importar / al modificar / diario</t>
        </is>
      </c>
      <c r="G27" s="16" t="inlineStr">
        <is>
          <t>Curador</t>
        </is>
      </c>
      <c r="H27" s="16" t="inlineStr">
        <is>
          <t>Hoy: "REVISAR" en observaciones. Regla de prevalencia: Decisión D-5.</t>
        </is>
      </c>
      <c r="I27" s="16" t="inlineStr">
        <is>
          <t>TX-02 · TX-03 · TX-09 · TX-11 · TX-14</t>
        </is>
      </c>
      <c r="J27" s="10" t="inlineStr">
        <is>
          <t>Pendiente</t>
        </is>
      </c>
      <c r="K27" s="10" t="n"/>
    </row>
    <row r="28" ht="25" customHeight="1">
      <c r="A28" s="9" t="inlineStr">
        <is>
          <t>M-17</t>
        </is>
      </c>
      <c r="B28" s="9" t="inlineStr">
        <is>
          <t>Alerta</t>
        </is>
      </c>
      <c r="C28" s="8" t="inlineStr">
        <is>
          <t>AL-5</t>
        </is>
      </c>
      <c r="D28" s="9" t="inlineStr">
        <is>
          <t>Provisoria por vencer</t>
        </is>
      </c>
      <c r="E28" s="9" t="inlineStr">
        <is>
          <t>homologado = No y faltan &lt; 24 h para las 72 h.</t>
        </is>
      </c>
      <c r="F28" s="9" t="inlineStr">
        <is>
          <t>Al importar / al modificar / diario</t>
        </is>
      </c>
      <c r="G28" s="9" t="inlineStr">
        <is>
          <t>Curador</t>
        </is>
      </c>
      <c r="H28" s="9" t="inlineStr">
        <is>
          <t>Antes de la suspensión automática (VA-7).</t>
        </is>
      </c>
      <c r="I28" s="9" t="inlineStr">
        <is>
          <t>TX-02 · TX-03 · TX-09 · TX-11 · TX-14</t>
        </is>
      </c>
      <c r="J28" s="10" t="inlineStr">
        <is>
          <t>Pendiente</t>
        </is>
      </c>
      <c r="K28" s="10" t="n"/>
    </row>
    <row r="29" ht="25" customHeight="1">
      <c r="A29" s="16" t="inlineStr">
        <is>
          <t>M-17</t>
        </is>
      </c>
      <c r="B29" s="16" t="inlineStr">
        <is>
          <t>Alerta</t>
        </is>
      </c>
      <c r="C29" s="15" t="inlineStr">
        <is>
          <t>AL-6</t>
        </is>
      </c>
      <c r="D29" s="16" t="inlineStr">
        <is>
          <t>Superposición de ETB en el mismo sitio</t>
        </is>
      </c>
      <c r="E29" s="16" t="inlineStr">
        <is>
          <t>Dos filas con el mismo sitio_atraque y ventanas ETB–ETC que se cruzan.</t>
        </is>
      </c>
      <c r="F29" s="16" t="inlineStr">
        <is>
          <t>Al importar / al modificar / diario</t>
        </is>
      </c>
      <c r="G29" s="16" t="inlineStr">
        <is>
          <t>Operaciones Portuarias</t>
        </is>
      </c>
      <c r="H29" s="16" t="inlineStr">
        <is>
          <t>Insumo para la reunión del Consorcio (TX-14).</t>
        </is>
      </c>
      <c r="I29" s="16" t="inlineStr">
        <is>
          <t>TX-02 · TX-03 · TX-09 · TX-11 · TX-14</t>
        </is>
      </c>
      <c r="J29" s="10" t="inlineStr">
        <is>
          <t>Pendiente</t>
        </is>
      </c>
      <c r="K29" s="10" t="n"/>
    </row>
    <row r="30" ht="50" customHeight="1">
      <c r="A30" s="9" t="inlineStr">
        <is>
          <t>M-17</t>
        </is>
      </c>
      <c r="B30" s="9" t="inlineStr">
        <is>
          <t>Alerta</t>
        </is>
      </c>
      <c r="C30" s="8" t="inlineStr">
        <is>
          <t>AL-7</t>
        </is>
      </c>
      <c r="D30" s="9" t="inlineStr">
        <is>
          <t>Antelación bajo el SLA</t>
        </is>
      </c>
      <c r="E30" s="9" t="inlineStr">
        <is>
          <t>Aviso registrado con ETA − fecha de aviso &lt; SLA del contrato (M-16).</t>
        </is>
      </c>
      <c r="F30" s="9" t="inlineStr">
        <is>
          <t>Al importar / al modificar / diario</t>
        </is>
      </c>
      <c r="G30" s="9" t="inlineStr">
        <is>
          <t>Comercial</t>
        </is>
      </c>
      <c r="H30" s="9" t="inlineStr">
        <is>
          <t>Ya prevista en TX-03; M-17 aporta la fecha del primer avistamiento en el puerto como evidencia.</t>
        </is>
      </c>
      <c r="I30" s="9" t="inlineStr">
        <is>
          <t>TX-02 · TX-03 · TX-09 · TX-11 · TX-14</t>
        </is>
      </c>
      <c r="J30" s="10" t="inlineStr">
        <is>
          <t>Pendiente</t>
        </is>
      </c>
      <c r="K30" s="10" t="n"/>
    </row>
    <row r="31" ht="25" customHeight="1">
      <c r="A31" s="16" t="inlineStr">
        <is>
          <t>M-16</t>
        </is>
      </c>
      <c r="B31" s="16" t="inlineStr">
        <is>
          <t>Validación</t>
        </is>
      </c>
      <c r="C31" s="15" t="inlineStr">
        <is>
          <t>VA-1</t>
        </is>
      </c>
      <c r="D31" s="16" t="inlineStr">
        <is>
          <t>Contrato sin parámetros no pasa a vigente</t>
        </is>
      </c>
      <c r="E31" s="16" t="inlineStr">
        <is>
          <t>Ritmo, tolerancia, merma, volumen comprometido, tope de cupos y espacio deben estar completos.</t>
        </is>
      </c>
      <c r="F31" s="16" t="inlineStr">
        <is>
          <t>Al autorizar el contrato</t>
        </is>
      </c>
      <c r="G31" s="16" t="inlineStr">
        <is>
          <t>Queda en borrador; TX-04 / TX-07 no pueden designar el tipo_servicio sobre él.</t>
        </is>
      </c>
      <c r="H31" s="16" t="inlineStr">
        <is>
          <t>M-16 (Definición previa Nº 1)</t>
        </is>
      </c>
      <c r="I31" s="16" t="inlineStr">
        <is>
          <t>TX-03 · TX-04 · TX-07</t>
        </is>
      </c>
      <c r="J31" s="10" t="inlineStr">
        <is>
          <t>Pendiente</t>
        </is>
      </c>
      <c r="K31" s="10" t="n"/>
    </row>
    <row r="32" ht="37.5" customHeight="1">
      <c r="A32" s="9" t="inlineStr">
        <is>
          <t>M-10</t>
        </is>
      </c>
      <c r="B32" s="9" t="inlineStr">
        <is>
          <t>Alerta</t>
        </is>
      </c>
      <c r="C32" s="8" t="inlineStr">
        <is>
          <t>AL-1</t>
        </is>
      </c>
      <c r="D32" s="9" t="inlineStr">
        <is>
          <t>Habilitación por vencer</t>
        </is>
      </c>
      <c r="E32" s="9" t="inlineStr">
        <is>
          <t>Habilitación aduanera o regulatoria (RENPRE / RENAR) del depósito a menos de "días_alerta" del vencimiento.</t>
        </is>
      </c>
      <c r="F32" s="9" t="inlineStr">
        <is>
          <t>Diario</t>
        </is>
      </c>
      <c r="G32" s="9" t="inlineStr">
        <is>
          <t>Aviso a Depósito y Operaciones Portuarias; al vencer, suspende el depósito para acopio fiscal / regulado.</t>
        </is>
      </c>
      <c r="H32" s="9" t="inlineStr">
        <is>
          <t>M-10.dias_alerta</t>
        </is>
      </c>
      <c r="I32" s="9" t="inlineStr">
        <is>
          <t>TX-06 · TX-12 · TX-13 · TX-23.1</t>
        </is>
      </c>
      <c r="J32" s="10" t="inlineStr">
        <is>
          <t>Pendiente</t>
        </is>
      </c>
      <c r="K32" s="10" t="n"/>
    </row>
    <row r="33" ht="25" customHeight="1">
      <c r="A33" s="16" t="inlineStr">
        <is>
          <t>M-20</t>
        </is>
      </c>
      <c r="B33" s="16" t="inlineStr">
        <is>
          <t>Automatización</t>
        </is>
      </c>
      <c r="C33" s="15" t="inlineStr">
        <is>
          <t>A-1</t>
        </is>
      </c>
      <c r="D33" s="16" t="inlineStr">
        <is>
          <t>Acción al exceder la tolerancia</t>
        </is>
      </c>
      <c r="E33" s="16" t="inlineStr">
        <is>
          <t>Cada parámetro declara qué hace el sistema al excederse: bloquear · pedir autorización nominal · alertar y registrar el desvío.</t>
        </is>
      </c>
      <c r="F33" s="16" t="inlineStr">
        <is>
          <t>Cuando una TX controlada supera el valor base + tolerancia</t>
        </is>
      </c>
      <c r="G33" s="16" t="inlineStr">
        <is>
          <t>Según la acción declarada; el desvío aceptado queda trazado con quién autorizó.</t>
        </is>
      </c>
      <c r="H33" s="16" t="inlineStr">
        <is>
          <t>M-20</t>
        </is>
      </c>
      <c r="I33" s="16" t="inlineStr">
        <is>
          <t>TX-03 · TX-18 · TX-21 · TX-26 · TX-30 · TX-38 · TX-39 · TX-42</t>
        </is>
      </c>
      <c r="J33" s="10" t="inlineStr">
        <is>
          <t>Pendiente</t>
        </is>
      </c>
      <c r="K33" s="10" t="n"/>
    </row>
    <row r="34" ht="25" customHeight="1">
      <c r="A34" s="9" t="inlineStr">
        <is>
          <t>M-08</t>
        </is>
      </c>
      <c r="B34" s="9" t="inlineStr">
        <is>
          <t>Validación</t>
        </is>
      </c>
      <c r="C34" s="8" t="inlineStr">
        <is>
          <t>VA-1</t>
        </is>
      </c>
      <c r="D34" s="9" t="inlineStr">
        <is>
          <t>IMO único y válido</t>
        </is>
      </c>
      <c r="E34" s="9" t="inlineStr">
        <is>
          <t>El número IMO identifica al buque; no puede repetirse ni faltar en un buque homologado.</t>
        </is>
      </c>
      <c r="F34" s="9" t="inlineStr">
        <is>
          <t>Al dar de alta / homologar desde M-17</t>
        </is>
      </c>
      <c r="G34" s="9" t="inlineStr">
        <is>
          <t>No se homologa; el buque sigue en alta provisoria (72 h).</t>
        </is>
      </c>
      <c r="H34" s="9" t="inlineStr">
        <is>
          <t>—</t>
        </is>
      </c>
      <c r="I34" s="9" t="inlineStr">
        <is>
          <t>TX-01 · TX-09</t>
        </is>
      </c>
      <c r="J34" s="10" t="inlineStr">
        <is>
          <t>Pendiente</t>
        </is>
      </c>
      <c r="K34" s="10" t="n"/>
    </row>
    <row r="35" ht="25" customHeight="1">
      <c r="A35" s="16" t="inlineStr">
        <is>
          <t>M-26</t>
        </is>
      </c>
      <c r="B35" s="16" t="inlineStr">
        <is>
          <t>Automatización</t>
        </is>
      </c>
      <c r="C35" s="15" t="inlineStr">
        <is>
          <t>A-1</t>
        </is>
      </c>
      <c r="D35" s="16" t="inlineStr">
        <is>
          <t>Derivación por congestión</t>
        </is>
      </c>
      <c r="E35" s="16" t="inlineStr">
        <is>
          <t>Si la cola supera "cola_maxima_camiones", deriva a la balanza alternativa y registra la demora como congestión (M-29).</t>
        </is>
      </c>
      <c r="F35" s="16" t="inlineStr">
        <is>
          <t>En el pesaje (TX-32)</t>
        </is>
      </c>
      <c r="G35" s="16" t="inlineStr">
        <is>
          <t>Deriva y registra causa de demora; deja de hacerse por WhatsApp.</t>
        </is>
      </c>
      <c r="H35" s="16" t="inlineStr">
        <is>
          <t>M-26.cola_maxima_camiones</t>
        </is>
      </c>
      <c r="I35" s="16" t="inlineStr">
        <is>
          <t>TX-32 · TX-33</t>
        </is>
      </c>
      <c r="J35" s="10" t="inlineStr">
        <is>
          <t>Pendiente</t>
        </is>
      </c>
      <c r="K35" s="10" t="n"/>
    </row>
    <row r="36" ht="37.5" customHeight="1">
      <c r="A36" s="9" t="inlineStr">
        <is>
          <t>Todos</t>
        </is>
      </c>
      <c r="B36" s="9" t="inlineStr">
        <is>
          <t>ABM</t>
        </is>
      </c>
      <c r="C36" s="8" t="inlineStr">
        <is>
          <t>ABM-0</t>
        </is>
      </c>
      <c r="D36" s="9" t="inlineStr">
        <is>
          <t>Ciclo de vida común</t>
        </is>
      </c>
      <c r="E36" s="9" t="inlineStr">
        <is>
          <t>Borrador → en validación → en autorización → vigente → publicada → suspendida / baja. Quien solicita no valida; quien valida no autoriza. Nada se borra.</t>
        </is>
      </c>
      <c r="F36" s="9" t="inlineStr">
        <is>
          <t>En toda alta, modificación o baja</t>
        </is>
      </c>
      <c r="G36" s="9" t="inlineStr">
        <is>
          <t>Ver hoja 3-Auditoría y ciclo de vida.</t>
        </is>
      </c>
      <c r="H36" s="9" t="inlineStr">
        <is>
          <t>—</t>
        </is>
      </c>
      <c r="I36" s="9" t="inlineStr">
        <is>
          <t>Todas</t>
        </is>
      </c>
      <c r="J36" s="10" t="inlineStr">
        <is>
          <t>Pendiente</t>
        </is>
      </c>
      <c r="K36" s="10" t="n"/>
    </row>
    <row r="37" ht="62.5" customHeight="1">
      <c r="A37" s="12" t="inlineStr">
        <is>
          <t>M-14</t>
        </is>
      </c>
      <c r="B37" s="12" t="inlineStr">
        <is>
          <t>ABM</t>
        </is>
      </c>
      <c r="C37" s="11" t="inlineStr">
        <is>
          <t>ABM-M14</t>
        </is>
      </c>
      <c r="D37" s="12" t="inlineStr">
        <is>
          <t>Tipo de servicio como registro</t>
        </is>
      </c>
      <c r="E37" s="12" t="inlineStr">
        <is>
          <t>Cada tipo declara componentes (descarga · carga · transporte · almacenaje · recepción · despacho · movimiento · alquiler · flete · trasbordo), origen del Operativo, recursos que consume, controles obligatorios y etapas que aplican. El workflow del Operativo se arma leyendo este registro.</t>
        </is>
      </c>
      <c r="F37" s="12" t="inlineStr">
        <is>
          <t>Comercial / Operaciones al crear o modificar un tipo</t>
        </is>
      </c>
      <c r="G37" s="12" t="inlineStr">
        <is>
          <t>Un tipo nuevo habilita automáticamente la "solicitud directa" de ese servicio.</t>
        </is>
      </c>
      <c r="H37" s="12" t="inlineStr">
        <is>
          <t>M-14.componentes · recursos · controles</t>
        </is>
      </c>
      <c r="I37" s="12" t="inlineStr">
        <is>
          <t>TX-04 · TX-08</t>
        </is>
      </c>
      <c r="J37" s="10" t="inlineStr">
        <is>
          <t>Pendiente</t>
        </is>
      </c>
      <c r="K37" s="10" t="n"/>
    </row>
    <row r="38" ht="50" customHeight="1">
      <c r="A38" s="12" t="inlineStr">
        <is>
          <t>M-07</t>
        </is>
      </c>
      <c r="B38" s="12" t="inlineStr">
        <is>
          <t>Automatización</t>
        </is>
      </c>
      <c r="C38" s="11" t="inlineStr">
        <is>
          <t>A-M07</t>
        </is>
      </c>
      <c r="D38" s="12" t="inlineStr">
        <is>
          <t>Manos recomendadas por la matriz</t>
        </is>
      </c>
      <c r="E38" s="12" t="inlineStr">
        <is>
          <t>manos = ritmo contractual (tn/turno) ÷ tn_por_mano_turno del producto; si el planificador cambia la cantidad debe registrar el motivo (desvío).</t>
        </is>
      </c>
      <c r="F38" s="12" t="inlineStr">
        <is>
          <t>Planificación al contratar manos</t>
        </is>
      </c>
      <c r="G38" s="12" t="inlineStr">
        <is>
          <t>EV-DESVIO si difiere de la recomendación.</t>
        </is>
      </c>
      <c r="H38" s="12" t="inlineStr">
        <is>
          <t>M-07.tn_por_mano_turno ★ · M-16.ritmo_contractual_tn_turno</t>
        </is>
      </c>
      <c r="I38" s="12" t="inlineStr">
        <is>
          <t>TX-18</t>
        </is>
      </c>
      <c r="J38" s="10" t="inlineStr">
        <is>
          <t>Pendiente</t>
        </is>
      </c>
      <c r="K38" s="10" t="n"/>
    </row>
    <row r="39" ht="87.5" customHeight="1">
      <c r="A39" s="12" t="inlineStr">
        <is>
          <t>M-09 · M-10 · M-10a</t>
        </is>
      </c>
      <c r="B39" s="12" t="inlineStr">
        <is>
          <t>Automatización</t>
        </is>
      </c>
      <c r="C39" s="11" t="inlineStr">
        <is>
          <t>A-M10</t>
        </is>
      </c>
      <c r="D39" s="12" t="inlineStr">
        <is>
          <t>Criterio de destino</t>
        </is>
      </c>
      <c r="E39" s="12" t="inlineStr">
        <is>
          <t>Solo ubicaciones compatibles (producto apto, régimen fiscal y regulatorio, compatibilidad M-24, capacidad libre = capacidad − ocupación − reservas, espacio asignado por contrato). Propuesta: prioridad planta propia → satélite → alquilada y, a igual prioridad, menor flete + almacenaje.</t>
        </is>
      </c>
      <c r="F39" s="12" t="inlineStr">
        <is>
          <t>Planificación al asignar destino de acopio</t>
        </is>
      </c>
      <c r="G39" s="12" t="inlineStr">
        <is>
          <t>Sin capacidad compatible → solicitud al sector Depósitos (ampliar / alta provisoria).</t>
        </is>
      </c>
      <c r="H39" s="12" t="inlineStr">
        <is>
          <t>M-09.costo_flete_referencia_tn ★ · costo_almacenaje_tn_dia ★ · M-07.permanencia_estadistica_dias</t>
        </is>
      </c>
      <c r="I39" s="12" t="inlineStr">
        <is>
          <t>TX-11 · TX-12 · TX-23 · SP-1</t>
        </is>
      </c>
      <c r="J39" s="10" t="inlineStr">
        <is>
          <t>Pendiente</t>
        </is>
      </c>
      <c r="K39" s="10" t="n"/>
    </row>
    <row r="40" ht="37.5" customHeight="1">
      <c r="A40" s="12" t="inlineStr">
        <is>
          <t>M-11</t>
        </is>
      </c>
      <c r="B40" s="12" t="inlineStr">
        <is>
          <t>Automatización</t>
        </is>
      </c>
      <c r="C40" s="11" t="inlineStr">
        <is>
          <t>A-M11</t>
        </is>
      </c>
      <c r="D40" s="12" t="inlineStr">
        <is>
          <t>Camiones necesarios</t>
        </is>
      </c>
      <c r="E40" s="12" t="inlineStr">
        <is>
          <t>camiones = ritmo (tn/h) × ciclo (carga + 2 pesajes + descarga + ida y vuelta) ÷ capacidad promedio; tolerancia TOL-CAMIONES-OP.</t>
        </is>
      </c>
      <c r="F40" s="12" t="inlineStr">
        <is>
          <t>Logística al dimensionar la flota</t>
        </is>
      </c>
      <c r="G40" s="12" t="inlineStr">
        <is>
          <t>EV-DESVIO fuera de tolerancia.</t>
        </is>
      </c>
      <c r="H40" s="12" t="inlineStr">
        <is>
          <t>M-20 TOL-CAMIONES-OP · M-09.distancia_al_puerto_km</t>
        </is>
      </c>
      <c r="I40" s="12" t="inlineStr">
        <is>
          <t>TX-21</t>
        </is>
      </c>
      <c r="J40" s="10" t="inlineStr">
        <is>
          <t>Pendiente</t>
        </is>
      </c>
      <c r="K40" s="10" t="n"/>
    </row>
    <row r="41" ht="37.5" customHeight="1">
      <c r="A41" s="12" t="inlineStr">
        <is>
          <t>M-12</t>
        </is>
      </c>
      <c r="B41" s="12" t="inlineStr">
        <is>
          <t>Validación</t>
        </is>
      </c>
      <c r="C41" s="11" t="inlineStr">
        <is>
          <t>VA-M12</t>
        </is>
      </c>
      <c r="D41" s="12" t="inlineStr">
        <is>
          <t>Preventiva vencida bloquea la asignación</t>
        </is>
      </c>
      <c r="E41" s="12" t="inlineStr">
        <is>
          <t>Si horometro_actual ≥ proximo_mantenimiento_h el equipo no es asignable; aviso 40 h antes.</t>
        </is>
      </c>
      <c r="F41" s="12" t="inlineStr">
        <is>
          <t>Al asignar grúa / equipos</t>
        </is>
      </c>
      <c r="G41" s="12" t="inlineStr">
        <is>
          <t>Solicitud al sector Mantenimiento (ejecutar preventiva).</t>
        </is>
      </c>
      <c r="H41" s="12" t="inlineStr">
        <is>
          <t>M-12.proximo_mantenimiento_h ★</t>
        </is>
      </c>
      <c r="I41" s="12" t="inlineStr">
        <is>
          <t>TX-14 · TX-22</t>
        </is>
      </c>
      <c r="J41" s="10" t="inlineStr">
        <is>
          <t>Pendiente</t>
        </is>
      </c>
      <c r="K41" s="10" t="n"/>
    </row>
    <row r="42">
      <c r="A42" s="12" t="inlineStr">
        <is>
          <t>M-26</t>
        </is>
      </c>
      <c r="B42" s="12" t="inlineStr">
        <is>
          <t>Validación</t>
        </is>
      </c>
      <c r="C42" s="11" t="inlineStr">
        <is>
          <t>VA-M26</t>
        </is>
      </c>
      <c r="D42" s="12" t="inlineStr">
        <is>
          <t>Certificación vencida</t>
        </is>
      </c>
      <c r="E42" s="12" t="inlineStr">
        <is>
          <t>fecha_vencimiento &lt; ETB → no asignable; aviso dias_aviso antes.</t>
        </is>
      </c>
      <c r="F42" s="12" t="inlineStr">
        <is>
          <t>Al asignar balanzas</t>
        </is>
      </c>
      <c r="G42" s="12" t="inlineStr">
        <is>
          <t>Solicitud al sector Tráfico (recertificar).</t>
        </is>
      </c>
      <c r="H42" s="12" t="inlineStr">
        <is>
          <t>M-26.dias_aviso</t>
        </is>
      </c>
      <c r="I42" s="12" t="inlineStr">
        <is>
          <t>TX-22 · TX-32</t>
        </is>
      </c>
      <c r="J42" s="10" t="inlineStr">
        <is>
          <t>Pendiente</t>
        </is>
      </c>
      <c r="K42" s="10" t="n"/>
    </row>
    <row r="43" ht="25" customHeight="1">
      <c r="A43" s="12" t="inlineStr">
        <is>
          <t>M-03</t>
        </is>
      </c>
      <c r="B43" s="12" t="inlineStr">
        <is>
          <t>Automatización</t>
        </is>
      </c>
      <c r="C43" s="11" t="inlineStr">
        <is>
          <t>A-M03</t>
        </is>
      </c>
      <c r="D43" s="12" t="inlineStr">
        <is>
          <t>Objeto operativo automático</t>
        </is>
      </c>
      <c r="E43" s="12" t="inlineStr">
        <is>
          <t>Al abrir el Operativo se crea la cuenta objeto (tipo objeto operativo, centro de costo del área) y se cierra al cerrar el Operativo (EV-16).</t>
        </is>
      </c>
      <c r="F43" s="12" t="inlineStr">
        <is>
          <t>Planificación al abrir el Operativo</t>
        </is>
      </c>
      <c r="G43" s="12" t="inlineStr">
        <is>
          <t>Registración automática de costos e ingresos sobre ese objeto.</t>
        </is>
      </c>
      <c r="H43" s="12" t="inlineStr">
        <is>
          <t>—</t>
        </is>
      </c>
      <c r="I43" s="12" t="inlineStr">
        <is>
          <t>TX-08 · TX-42</t>
        </is>
      </c>
      <c r="J43" s="10" t="inlineStr">
        <is>
          <t>Pendiente</t>
        </is>
      </c>
      <c r="K43" s="10" t="n"/>
    </row>
    <row r="44" ht="25" customHeight="1">
      <c r="A44" s="36" t="inlineStr">
        <is>
          <t>M-34</t>
        </is>
      </c>
      <c r="B44" s="36" t="inlineStr">
        <is>
          <t>Validación</t>
        </is>
      </c>
      <c r="C44" s="35" t="inlineStr">
        <is>
          <t>VA-M34</t>
        </is>
      </c>
      <c r="D44" s="36" t="inlineStr">
        <is>
          <t>Método seguro vencido bloquea el recurso</t>
        </is>
      </c>
      <c r="E44" s="36" t="inlineStr">
        <is>
          <t>Si fecha_vencimiento &lt; fecha del operativo (ETB) o estado ∈ {vencido, reemplazado}, todos los recursos que referencian el MS quedan sin disponibilidad (o con observación si accion_al_vencer = "alertar y registrar desvío").</t>
        </is>
      </c>
      <c r="F44" s="36" t="inlineStr">
        <is>
          <t>Al evaluar disponibilidad en cualquier tarea del plan; al nominar producto y confirmar tipo de servicio (A1)</t>
        </is>
      </c>
      <c r="G44" s="36" t="inlineStr">
        <is>
          <t>Orden de servicio a Seguridad e Higiene (renovación) · EV-MS</t>
        </is>
      </c>
      <c r="H44" s="36" t="inlineStr">
        <is>
          <t>M-34.accion_al_vencer</t>
        </is>
      </c>
      <c r="I44" s="36" t="inlineStr">
        <is>
          <t>TX-01 · TX-04 · TX-14 · TX-18 · TX-21 · TX-22 · TX-23</t>
        </is>
      </c>
      <c r="J44" s="10" t="inlineStr">
        <is>
          <t>Pendiente</t>
        </is>
      </c>
      <c r="K44" s="10" t="n"/>
    </row>
    <row r="45" ht="25" customHeight="1">
      <c r="A45" s="36" t="inlineStr">
        <is>
          <t>M-34</t>
        </is>
      </c>
      <c r="B45" s="36" t="inlineStr">
        <is>
          <t>Alerta</t>
        </is>
      </c>
      <c r="C45" s="35" t="inlineStr">
        <is>
          <t>AL-M34</t>
        </is>
      </c>
      <c r="D45" s="36" t="inlineStr">
        <is>
          <t>Aviso previo al vencimiento</t>
        </is>
      </c>
      <c r="E45" s="36" t="inlineStr">
        <is>
          <t>Cuando faltan ≤ dias_aviso para fecha_vencimiento el recurso pasa a "con observaciones" y se avisa al área responsable.</t>
        </is>
      </c>
      <c r="F45" s="36" t="inlineStr">
        <is>
          <t>Corrida diaria (avance del día)</t>
        </is>
      </c>
      <c r="G45" s="36" t="inlineStr">
        <is>
          <t>Responsable del MS (M-05) y sector dueño del recurso · EV-MS</t>
        </is>
      </c>
      <c r="H45" s="36" t="inlineStr">
        <is>
          <t>M-34.dias_aviso (30)</t>
        </is>
      </c>
      <c r="I45" s="36" t="inlineStr">
        <is>
          <t>—</t>
        </is>
      </c>
      <c r="J45" s="10" t="inlineStr">
        <is>
          <t>Pendiente</t>
        </is>
      </c>
      <c r="K45" s="10" t="n"/>
    </row>
    <row r="46" ht="25" customHeight="1">
      <c r="A46" s="36" t="inlineStr">
        <is>
          <t>M-34</t>
        </is>
      </c>
      <c r="B46" s="36" t="inlineStr">
        <is>
          <t>ABM</t>
        </is>
      </c>
      <c r="C46" s="35" t="inlineStr">
        <is>
          <t>ABM-M34</t>
        </is>
      </c>
      <c r="D46" s="36" t="inlineStr">
        <is>
          <t>Alta, renovación y reemplazo con cadena de autorización</t>
        </is>
      </c>
      <c r="E46" s="36" t="inlineStr">
        <is>
          <t>Alta o nueva versión → validación por Máster data → autorización por Seguridad e Higiene → vigente. Al reemplazar, el MS anterior pasa a "reemplazado" y las referencias se migran al nuevo.</t>
        </is>
      </c>
      <c r="F46" s="36" t="inlineStr">
        <is>
          <t>Seguridad e Higiene</t>
        </is>
      </c>
      <c r="G46" s="36" t="inlineStr">
        <is>
          <t>Solicitante ≠ autorizante.</t>
        </is>
      </c>
      <c r="H46" s="36" t="inlineStr">
        <is>
          <t>—</t>
        </is>
      </c>
      <c r="I46" s="36" t="inlineStr">
        <is>
          <t>—</t>
        </is>
      </c>
      <c r="J46" s="10" t="inlineStr">
        <is>
          <t>Pendiente</t>
        </is>
      </c>
      <c r="K46" s="10" t="n"/>
    </row>
    <row r="47" ht="25" customHeight="1">
      <c r="A47" s="36" t="inlineStr">
        <is>
          <t>M-33</t>
        </is>
      </c>
      <c r="B47" s="36" t="inlineStr">
        <is>
          <t>Parámetro</t>
        </is>
      </c>
      <c r="C47" s="35" t="inlineStr">
        <is>
          <t>PA-M33</t>
        </is>
      </c>
      <c r="D47" s="36" t="inlineStr">
        <is>
          <t>Duración del turno gobierna la duración del operativo</t>
        </is>
      </c>
      <c r="E47" s="36" t="inlineStr">
        <is>
          <t>ETC = ETB + turnos planificados × duracion_h. Las horas de costo por turno (manos, equipos, dotación) y las reglas de razonabilidad usan duracion_h en lugar de 8 h fijas.</t>
        </is>
      </c>
      <c r="F47" s="36" t="inlineStr">
        <is>
          <t>Al planificar TURNOS y en cada parte de turno</t>
        </is>
      </c>
      <c r="G47" s="36" t="inlineStr">
        <is>
          <t>Cambio de ETC → LineUp / arribo y tareas a revalidar (EV-CAMBIO)</t>
        </is>
      </c>
      <c r="H47" s="36" t="inlineStr">
        <is>
          <t>M-33.duracion_h (6)</t>
        </is>
      </c>
      <c r="I47" s="36" t="inlineStr">
        <is>
          <t>TX-15 · TX-18 · TX-25 · TX-26</t>
        </is>
      </c>
      <c r="J47" s="10" t="inlineStr">
        <is>
          <t>Pendiente</t>
        </is>
      </c>
      <c r="K47" s="10" t="n"/>
    </row>
    <row r="48" ht="25" customHeight="1">
      <c r="A48" s="36" t="inlineStr">
        <is>
          <t>M-33</t>
        </is>
      </c>
      <c r="B48" s="36" t="inlineStr">
        <is>
          <t>ABM</t>
        </is>
      </c>
      <c r="C48" s="35" t="inlineStr">
        <is>
          <t>ABM-M33</t>
        </is>
      </c>
      <c r="D48" s="36" t="inlineStr">
        <is>
          <t>Régimen con cadena de autorización</t>
        </is>
      </c>
      <c r="E48" s="36" t="inlineStr">
        <is>
          <t>Alta o cambio de turno → validación → autorización por RRHH y Planta → vigente desde la fecha de vigencia; los operativos ya planificados conservan su régimen.</t>
        </is>
      </c>
      <c r="F48" s="36" t="inlineStr">
        <is>
          <t>RRHH · Operaciones</t>
        </is>
      </c>
      <c r="G48" s="36" t="inlineStr">
        <is>
          <t>Solicitante ≠ autorizante.</t>
        </is>
      </c>
      <c r="H48" s="36" t="inlineStr">
        <is>
          <t>—</t>
        </is>
      </c>
      <c r="I48" s="36" t="inlineStr">
        <is>
          <t>—</t>
        </is>
      </c>
      <c r="J48" s="10" t="inlineStr">
        <is>
          <t>Pendiente</t>
        </is>
      </c>
      <c r="K48" s="10" t="n"/>
    </row>
    <row r="49" ht="25" customHeight="1">
      <c r="A49" s="36" t="inlineStr">
        <is>
          <t>M-32</t>
        </is>
      </c>
      <c r="B49" s="36" t="inlineStr">
        <is>
          <t>ABM</t>
        </is>
      </c>
      <c r="C49" s="35" t="inlineStr">
        <is>
          <t>ABM-M32</t>
        </is>
      </c>
      <c r="D49" s="36" t="inlineStr">
        <is>
          <t>Alta por tramos: comercial y operativo</t>
        </is>
      </c>
      <c r="E49" s="36" t="inlineStr">
        <is>
          <t>Comercial carga fecha prevista, planta, operador, cliente, producto, contrato, vagones, toneladas; Logística completa formación, playa de vías / desvío y ventana. Cada rol escribe solo su tramo; Máster data / Administrador escriben todo.</t>
        </is>
      </c>
      <c r="F49" s="36" t="inlineStr">
        <is>
          <t>Comercial al recibir el aviso del operador; Logística al confirmar el tren</t>
        </is>
      </c>
      <c r="G49" s="36" t="inlineStr">
        <is>
          <t>El registro queda vigente al guardarlo cualquiera de los dos roles (sin cadena).</t>
        </is>
      </c>
      <c r="H49" s="36" t="inlineStr">
        <is>
          <t>—</t>
        </is>
      </c>
      <c r="I49" s="36" t="inlineStr">
        <is>
          <t>TX-43</t>
        </is>
      </c>
      <c r="J49" s="10" t="inlineStr">
        <is>
          <t>Pendiente</t>
        </is>
      </c>
      <c r="K49" s="10" t="n"/>
    </row>
    <row r="50" ht="25" customHeight="1">
      <c r="A50" s="36" t="inlineStr">
        <is>
          <t>M-32</t>
        </is>
      </c>
      <c r="B50" s="36" t="inlineStr">
        <is>
          <t>Validación</t>
        </is>
      </c>
      <c r="C50" s="35" t="inlineStr">
        <is>
          <t>VA-M32</t>
        </is>
      </c>
      <c r="D50" s="36" t="inlineStr">
        <is>
          <t>Vínculo único y tramo operativo</t>
        </is>
      </c>
      <c r="E50" s="36" t="inlineStr">
        <is>
          <t>Un arribo se vincula a un solo operativo; cancelado o cumplido no se vincula. Sin formación / ventana el operativo toma la fecha prevista y queda "con observaciones" hasta que Logística complete el tramo.</t>
        </is>
      </c>
      <c r="F50" s="36" t="inlineStr">
        <is>
          <t>En A1 al elegir medio de arribo ferrocarril</t>
        </is>
      </c>
      <c r="G50" s="36" t="inlineStr">
        <is>
          <t>Observación en la orden; revalidación al completarse la ventana.</t>
        </is>
      </c>
      <c r="H50" s="36" t="inlineStr">
        <is>
          <t>—</t>
        </is>
      </c>
      <c r="I50" s="36" t="inlineStr">
        <is>
          <t>TX-43</t>
        </is>
      </c>
      <c r="J50" s="10" t="inlineStr">
        <is>
          <t>Pendiente</t>
        </is>
      </c>
      <c r="K50" s="10" t="n"/>
    </row>
    <row r="51" ht="25" customHeight="1">
      <c r="A51" s="36" t="inlineStr">
        <is>
          <t>M-32</t>
        </is>
      </c>
      <c r="B51" s="36" t="inlineStr">
        <is>
          <t>Automatización</t>
        </is>
      </c>
      <c r="C51" s="35" t="inlineStr">
        <is>
          <t>A-M32</t>
        </is>
      </c>
      <c r="D51" s="36" t="inlineStr">
        <is>
          <t>Propagación de cambios del arribo</t>
        </is>
      </c>
      <c r="E51" s="36" t="inlineStr">
        <is>
          <t>Cambios de ventana, toneladas, cliente o producto en un arribo vinculado se aplican al operativo (ETB / ETC / toneladas) y marcan a revalidar las tareas impactadas.</t>
        </is>
      </c>
      <c r="F51" s="36" t="inlineStr">
        <is>
          <t>Al guardar el arribo (cualquier tramo)</t>
        </is>
      </c>
      <c r="G51" s="36" t="inlineStr">
        <is>
          <t>EV-ARRIBO · EV-CAMBIO</t>
        </is>
      </c>
      <c r="H51" s="36" t="inlineStr">
        <is>
          <t>—</t>
        </is>
      </c>
      <c r="I51" s="36" t="inlineStr">
        <is>
          <t>TX-43</t>
        </is>
      </c>
      <c r="J51" s="10" t="inlineStr">
        <is>
          <t>Pendiente</t>
        </is>
      </c>
      <c r="K51" s="10" t="n"/>
    </row>
    <row r="52" ht="25" customHeight="1">
      <c r="A52" s="36" t="inlineStr">
        <is>
          <t>M-31</t>
        </is>
      </c>
      <c r="B52" s="36" t="inlineStr">
        <is>
          <t>ABM</t>
        </is>
      </c>
      <c r="C52" s="35" t="inlineStr">
        <is>
          <t>ABM-M31</t>
        </is>
      </c>
      <c r="D52" s="36" t="inlineStr">
        <is>
          <t>Alta por tramos: comercial y de portería</t>
        </is>
      </c>
      <c r="E52" s="36" t="inlineStr">
        <is>
          <t>Comercial carga día, planta, cliente, producto, contrato, camiones, toneladas, ingreso / egreso; Tráfico — Portería completa turno del régimen, portón y confirmación de planta. Un cupo rechazado por la planta no se vincula; pendiente queda con observación.</t>
        </is>
      </c>
      <c r="F52" s="36" t="inlineStr">
        <is>
          <t>Comercial al recibir el pedido del cliente; Tráfico al confirmar la planta</t>
        </is>
      </c>
      <c r="G52" s="36" t="inlineStr">
        <is>
          <t>Vigente al guardar; control contra el tope de cupos diario del contrato al vincular.</t>
        </is>
      </c>
      <c r="H52" s="36" t="inlineStr">
        <is>
          <t>M-16.tope_cupos_diario</t>
        </is>
      </c>
      <c r="I52" s="36" t="inlineStr">
        <is>
          <t>TX-01 · TX-04</t>
        </is>
      </c>
      <c r="J52" s="10" t="inlineStr">
        <is>
          <t>Pendiente</t>
        </is>
      </c>
      <c r="K52" s="10" t="n"/>
    </row>
    <row r="53" ht="25" customHeight="1">
      <c r="A53" s="36" t="inlineStr">
        <is>
          <t>M-17</t>
        </is>
      </c>
      <c r="B53" s="36" t="inlineStr">
        <is>
          <t>ABM</t>
        </is>
      </c>
      <c r="C53" s="35" t="inlineStr">
        <is>
          <t>ABM-M17-T</t>
        </is>
      </c>
      <c r="D53" s="36" t="inlineStr">
        <is>
          <t>Tramo portuario del LineUp</t>
        </is>
      </c>
      <c r="E53" s="36" t="inlineStr">
        <is>
          <t>ETB, ETC, sitio de atraque, orden de puerto y estado operativo los escribe Planificación (tarea MUELLE o ABM); el tramo comercial (buque, cliente, producto, operación, toneladas, ETA, agencia, fuente) lo escribe Comercial / Backoffice.</t>
        </is>
      </c>
      <c r="F53" s="36" t="inlineStr">
        <is>
          <t>Comercial al registrar el aviso; Planificación tras la reunión del Consorcio</t>
        </is>
      </c>
      <c r="G53" s="36" t="inlineStr">
        <is>
          <t>Un solo registro; cada tramo con su responsable; propagación al operativo (EV-LINEUP).</t>
        </is>
      </c>
      <c r="H53" s="36" t="inlineStr">
        <is>
          <t>—</t>
        </is>
      </c>
      <c r="I53" s="36" t="inlineStr">
        <is>
          <t>TX-01 · TX-02 · TX-14</t>
        </is>
      </c>
      <c r="J53" s="10" t="inlineStr">
        <is>
          <t>Pendiente</t>
        </is>
      </c>
      <c r="K53" s="10" t="n"/>
    </row>
    <row r="54" ht="25" customHeight="1">
      <c r="A54" s="36" t="inlineStr">
        <is>
          <t>M-26</t>
        </is>
      </c>
      <c r="B54" s="36" t="inlineStr">
        <is>
          <t>Validación</t>
        </is>
      </c>
      <c r="C54" s="35" t="inlineStr">
        <is>
          <t>VA-M26-F</t>
        </is>
      </c>
      <c r="D54" s="36" t="inlineStr">
        <is>
          <t>Habilitación fiscal de la balanza</t>
        </is>
      </c>
      <c r="E54" s="36" t="inlineStr">
        <is>
          <t>Si la mercadería del operativo no está nacionalizada solo se ofrecen balanzas con habilitada_fiscal = V y habilitacion_fiscal_vto ≥ ETB; las demás quedan sin disponibilidad. Nacionalizada: cualquier balanza operativa.</t>
        </is>
      </c>
      <c r="F54" s="36" t="inlineStr">
        <is>
          <t>Al planificar BALANZA (Planificación)</t>
        </is>
      </c>
      <c r="G54" s="36" t="inlineStr">
        <is>
          <t>Solicitud a Tráfico para habilitar / renovar la habilitación fiscal.</t>
        </is>
      </c>
      <c r="H54" s="36" t="inlineStr">
        <is>
          <t>M-26.habilitada_fiscal · M-26.habilitacion_fiscal_vto</t>
        </is>
      </c>
      <c r="I54" s="36" t="inlineStr">
        <is>
          <t>TX-22 · TX-32</t>
        </is>
      </c>
      <c r="J54" s="10" t="inlineStr">
        <is>
          <t>Pendiente</t>
        </is>
      </c>
      <c r="K54" s="10" t="n"/>
    </row>
    <row r="55" ht="25" customHeight="1">
      <c r="A55" s="36" t="inlineStr">
        <is>
          <t>M-10</t>
        </is>
      </c>
      <c r="B55" s="36" t="inlineStr">
        <is>
          <t>Validación</t>
        </is>
      </c>
      <c r="C55" s="35" t="inlineStr">
        <is>
          <t>VA-M10-F</t>
        </is>
      </c>
      <c r="D55" s="36" t="inlineStr">
        <is>
          <t>Filtro fiscal del destino</t>
        </is>
      </c>
      <c r="E55" s="36" t="inlineStr">
        <is>
          <t>Si la mercadería no está nacionalizada solo se ofrecen depósitos de tipo fiscal / fiscal temporario con habilitación aduanera vigente y sus ubicaciones; nacionalizada: cualquier depósito activo.</t>
        </is>
      </c>
      <c r="F55" s="36" t="inlineStr">
        <is>
          <t>Al planificar DEPÓSITO y en el trámite fiscal (A4)</t>
        </is>
      </c>
      <c r="G55" s="36" t="inlineStr">
        <is>
          <t>OS a Depósito por capacidad fiscal.</t>
        </is>
      </c>
      <c r="H55" s="36" t="inlineStr">
        <is>
          <t>M-10.tipo · M-10.habilitacion_aduanera</t>
        </is>
      </c>
      <c r="I55" s="36" t="inlineStr">
        <is>
          <t>TX-06 · TX-12 · TX-23</t>
        </is>
      </c>
      <c r="J55" s="10" t="inlineStr">
        <is>
          <t>Pendiente</t>
        </is>
      </c>
      <c r="K55" s="10" t="n"/>
    </row>
    <row r="56" ht="25" customHeight="1">
      <c r="A56" s="36" t="inlineStr">
        <is>
          <t>M-05</t>
        </is>
      </c>
      <c r="B56" s="36" t="inlineStr">
        <is>
          <t>Validación</t>
        </is>
      </c>
      <c r="C56" s="35" t="inlineStr">
        <is>
          <t>VA-M05</t>
        </is>
      </c>
      <c r="D56" s="36" t="inlineStr">
        <is>
          <t>Dotación propia por puesto y cantidad</t>
        </is>
      </c>
      <c r="E56" s="36" t="inlineStr">
        <is>
          <t>La tarea DOTACIÓN pide cantidad por puesto (tipo puesto) por turno. Disponibles = personal (M-28) activo y habilitado con ese puesto − comprometido en otros operativos en la ventana. Si disponibles &lt; pedidos → OS a RRHH y Planta. Mínimo del puesto: desvío registrado.</t>
        </is>
      </c>
      <c r="F56" s="36" t="inlineStr">
        <is>
          <t>Al planificar DOTACIÓN (Planificación)</t>
        </is>
      </c>
      <c r="G56" s="36" t="inlineStr">
        <is>
          <t>OS a RRHH y Planta · EV-DESVIO si no alcanza el mínimo</t>
        </is>
      </c>
      <c r="H56" s="36" t="inlineStr">
        <is>
          <t>M-05.dotacion_minima_por_turno</t>
        </is>
      </c>
      <c r="I56" s="36" t="inlineStr">
        <is>
          <t>TX-18 · TX-44</t>
        </is>
      </c>
      <c r="J56" s="10" t="inlineStr">
        <is>
          <t>Pendiente</t>
        </is>
      </c>
      <c r="K56" s="10" t="n"/>
    </row>
    <row r="57" ht="25" customHeight="1">
      <c r="A57" s="36" t="inlineStr">
        <is>
          <t>M-27</t>
        </is>
      </c>
      <c r="B57" s="36" t="inlineStr">
        <is>
          <t>Validación</t>
        </is>
      </c>
      <c r="C57" s="35" t="inlineStr">
        <is>
          <t>VA-M27</t>
        </is>
      </c>
      <c r="D57" s="36" t="inlineStr">
        <is>
          <t>Choferes por cantidad</t>
        </is>
      </c>
      <c r="E57" s="36" t="inlineStr">
        <is>
          <t>La tarea LOGÍSTICA pide cantidad de choferes (recurso, sin nombre). Disponibles = choferes habilitados con licencia, credencial y ART vigentes − comprometidos en otros operativos. Si no alcanzan → OS a Logística; las personas se registran en la ejecución (C3).</t>
        </is>
      </c>
      <c r="F57" s="36" t="inlineStr">
        <is>
          <t>Al planificar LOGÍSTICA (Planificación)</t>
        </is>
      </c>
      <c r="G57" s="36" t="inlineStr">
        <is>
          <t>OS a Logística</t>
        </is>
      </c>
      <c r="H57" s="36" t="inlineStr">
        <is>
          <t>—</t>
        </is>
      </c>
      <c r="I57" s="36" t="inlineStr">
        <is>
          <t>TX-21 · TX-29 · TX-44</t>
        </is>
      </c>
      <c r="J57" s="10" t="inlineStr">
        <is>
          <t>Pendiente</t>
        </is>
      </c>
      <c r="K57" s="10" t="n"/>
    </row>
    <row r="58" ht="25" customHeight="1">
      <c r="A58" s="36" t="inlineStr">
        <is>
          <t>M-13</t>
        </is>
      </c>
      <c r="B58" s="36" t="inlineStr">
        <is>
          <t>Parámetro</t>
        </is>
      </c>
      <c r="C58" s="35" t="inlineStr">
        <is>
          <t>PA-M13</t>
        </is>
      </c>
      <c r="D58" s="36" t="inlineStr">
        <is>
          <t>La mano como recurso compuesto</t>
        </is>
      </c>
      <c r="E58" s="36" t="inlineStr">
        <is>
          <t>Cada categoría declara su composición por roles (composicion_roles); la planificación elige categoría × cantidad de manos por turno (RZ-MANOS) y nunca personas. La empresa de estiba asigna las personas.</t>
        </is>
      </c>
      <c r="F58" s="36" t="inlineStr">
        <is>
          <t>Al planificar MANOS</t>
        </is>
      </c>
      <c r="G58" s="36" t="inlineStr">
        <is>
          <t>Costo de mano al operativo (EV-07)</t>
        </is>
      </c>
      <c r="H58" s="36" t="inlineStr">
        <is>
          <t>M-13.composicion_roles · M-07.tn_por_mano_turno</t>
        </is>
      </c>
      <c r="I58" s="36" t="inlineStr">
        <is>
          <t>TX-18 · TX-24</t>
        </is>
      </c>
      <c r="J58" s="10" t="inlineStr">
        <is>
          <t>Pendiente</t>
        </is>
      </c>
      <c r="K58" s="10" t="n"/>
    </row>
    <row r="59" ht="25" customHeight="1">
      <c r="A59" s="36" t="inlineStr">
        <is>
          <t>Operativo</t>
        </is>
      </c>
      <c r="B59" s="36" t="inlineStr">
        <is>
          <t>Automatización</t>
        </is>
      </c>
      <c r="C59" s="35" t="inlineStr">
        <is>
          <t>A-PLANREAL</t>
        </is>
      </c>
      <c r="D59" s="36" t="inlineStr">
        <is>
          <t>Planificado vs. efectivamente realizado</t>
        </is>
      </c>
      <c r="E59" s="36" t="inlineStr">
        <is>
          <t>Al aprobar el plan se guarda la foto del plan inicial; cada orden adicional, liberación o excepción de Operaciones queda como ajuste; la ejecución registra lo utilizado por tarea. Comparativa plan inicial → vigente → realizado en el operativo, el fin de la ejecución y el cierre.</t>
        </is>
      </c>
      <c r="F59" s="36" t="inlineStr">
        <is>
          <t>EV-08 (foto) · OS de Operaciones (ajustes) · C-DOTACION / C3 / C-MAQUINARIA / C-BALANZA / C9 / D3 (realizado)</t>
        </is>
      </c>
      <c r="G59" s="36" t="inlineStr">
        <is>
          <t>EV-PLANREAL · KPI de desvío plan vs. real</t>
        </is>
      </c>
      <c r="H59" s="36" t="inlineStr">
        <is>
          <t>—</t>
        </is>
      </c>
      <c r="I59" s="36" t="inlineStr">
        <is>
          <t>TX-44</t>
        </is>
      </c>
      <c r="J59" s="10" t="inlineStr">
        <is>
          <t>Pendiente</t>
        </is>
      </c>
      <c r="K59" s="10" t="n"/>
    </row>
  </sheetData>
  <autoFilter ref="A1:K59"/>
  <dataValidations count="2">
    <dataValidation sqref="J2:J59" showDropDown="0" showInputMessage="0" showErrorMessage="0" allowBlank="1" type="list">
      <formula1>"Pendiente,Validado,Con cambios,Eliminar"</formula1>
    </dataValidation>
    <dataValidation sqref="B2:B59" showDropDown="0" showInputMessage="0" showErrorMessage="0" allowBlank="1" type="list">
      <formula1>"ABM,Validación,Automatización,Alerta,Parámetro"</formula1>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A6A6A6"/>
    <outlinePr summaryBelow="1" summaryRight="1"/>
    <pageSetUpPr/>
  </sheetPr>
  <dimension ref="A1:I36"/>
  <sheetViews>
    <sheetView zoomScaleNormal="100" workbookViewId="0">
      <pane xSplit="2" ySplit="1" topLeftCell="C2" activePane="bottomRight" state="frozen"/>
      <selection pane="topRight" activeCell="C1" sqref="C1"/>
      <selection pane="bottomLeft" activeCell="A5" sqref="A5"/>
      <selection pane="bottomRight" activeCell="A1" sqref="A1:XFD1"/>
    </sheetView>
  </sheetViews>
  <sheetFormatPr baseColWidth="10" defaultColWidth="8.6328125" defaultRowHeight="14.5"/>
  <cols>
    <col width="9" customWidth="1" min="1" max="1"/>
    <col width="34" customWidth="1" min="2" max="3"/>
    <col width="30" customWidth="1" min="4" max="4"/>
    <col width="34" customWidth="1" min="5" max="5"/>
    <col width="30" customWidth="1" min="6" max="6"/>
    <col width="62" customWidth="1" min="7" max="7"/>
    <col width="15" customWidth="1" min="8" max="8"/>
    <col width="40" customWidth="1" min="9" max="9"/>
  </cols>
  <sheetData>
    <row r="1" ht="30" customFormat="1" customHeight="1" s="28">
      <c r="A1" s="27" t="inlineStr">
        <is>
          <t>Maestro</t>
        </is>
      </c>
      <c r="B1" s="27" t="inlineStr">
        <is>
          <t>Atributo destino</t>
        </is>
      </c>
      <c r="C1" s="27" t="inlineStr">
        <is>
          <t>Fuente 1</t>
        </is>
      </c>
      <c r="D1" s="27" t="inlineStr">
        <is>
          <t>Columna / campo en fuente 1</t>
        </is>
      </c>
      <c r="E1" s="27" t="inlineStr">
        <is>
          <t>Fuente 2</t>
        </is>
      </c>
      <c r="F1" s="27" t="inlineStr">
        <is>
          <t>Columna / campo en fuente 2</t>
        </is>
      </c>
      <c r="G1" s="27" t="inlineStr">
        <is>
          <t>Regla de transformación / homologación</t>
        </is>
      </c>
      <c r="H1" s="27" t="inlineStr">
        <is>
          <t>Revisión en sesión</t>
        </is>
      </c>
      <c r="I1" s="27" t="inlineStr">
        <is>
          <t>Comentarios del equipo</t>
        </is>
      </c>
    </row>
    <row r="2" ht="37.5" customHeight="1">
      <c r="A2" s="8" t="inlineStr">
        <is>
          <t>M-17</t>
        </is>
      </c>
      <c r="B2" s="9" t="inlineStr">
        <is>
          <t>puerto</t>
        </is>
      </c>
      <c r="C2" s="9" t="inlineStr">
        <is>
          <t>LINEUP.xlsx — formato agencia (Necochea · Ramallo · AES · Villa Constitución)</t>
        </is>
      </c>
      <c r="D2" s="9" t="inlineStr">
        <is>
          <t>PORT</t>
        </is>
      </c>
      <c r="E2" s="9" t="inlineStr">
        <is>
          <t>LINEUP.xlsx — formato PSN / CGPSN (Cs. Grales · Elevador · Arroyo · PGSM · Timbúes)</t>
        </is>
      </c>
      <c r="F2" s="9" t="inlineStr">
        <is>
          <t>Encabezado de la hoja (PUERTO SAN NICOLAS, TIMBUES…)</t>
        </is>
      </c>
      <c r="G2" s="9" t="inlineStr">
        <is>
          <t>Se resuelve contra M-09 por tabla de alias (ej. "SAN NICOLAS" → PSN). Columna equivalente en la hoja "Integrado": PUERTO.</t>
        </is>
      </c>
      <c r="H2" s="10" t="inlineStr">
        <is>
          <t>Pendiente</t>
        </is>
      </c>
      <c r="I2" s="10" t="n"/>
    </row>
    <row r="3" ht="37.5" customHeight="1">
      <c r="A3" s="15" t="inlineStr">
        <is>
          <t>M-17</t>
        </is>
      </c>
      <c r="B3" s="16" t="inlineStr">
        <is>
          <t>sitio_atraque</t>
        </is>
      </c>
      <c r="C3" s="16" t="inlineStr">
        <is>
          <t>LINEUP.xlsx — formato agencia (Necochea · Ramallo · AES · Villa Constitución)</t>
        </is>
      </c>
      <c r="D3" s="16" t="inlineStr">
        <is>
          <t>BERTH</t>
        </is>
      </c>
      <c r="E3" s="16" t="inlineStr">
        <is>
          <t>LINEUP.xlsx — formato PSN / CGPSN (Cs. Grales · Elevador · Arroyo · PGSM · Timbúes)</t>
        </is>
      </c>
      <c r="F3" s="16" t="inlineStr">
        <is>
          <t>Subtítulo (Muelle Cargas Generales / Elevador) · SECTOR</t>
        </is>
      </c>
      <c r="G3" s="16" t="inlineStr">
        <is>
          <t>Puerto propio → Ref. M-25; externo → texto. Columna equivalente en la hoja "Integrado": SITIO DE ATRAQUE.</t>
        </is>
      </c>
      <c r="H3" s="10" t="inlineStr">
        <is>
          <t>Pendiente</t>
        </is>
      </c>
      <c r="I3" s="10" t="n"/>
    </row>
    <row r="4" ht="37.5" customHeight="1">
      <c r="A4" s="8" t="inlineStr">
        <is>
          <t>M-17</t>
        </is>
      </c>
      <c r="B4" s="9" t="inlineStr">
        <is>
          <t>buque / buque_texto_fuente</t>
        </is>
      </c>
      <c r="C4" s="9" t="inlineStr">
        <is>
          <t>LINEUP.xlsx — formato agencia (Necochea · Ramallo · AES · Villa Constitución)</t>
        </is>
      </c>
      <c r="D4" s="9" t="inlineStr">
        <is>
          <t>VESSEL</t>
        </is>
      </c>
      <c r="E4" s="9" t="inlineStr">
        <is>
          <t>LINEUP.xlsx — formato PSN / CGPSN (Cs. Grales · Elevador · Arroyo · PGSM · Timbúes)</t>
        </is>
      </c>
      <c r="F4" s="9" t="inlineStr">
        <is>
          <t>BUQUE</t>
        </is>
      </c>
      <c r="G4" s="9" t="inlineStr">
        <is>
          <t>Normalizar (mayúsculas, sin "MV"/"MT", sin puntos) → buscar en M-08 por alias; si no existe, alta provisoria. Columna equivalente en la hoja "Integrado": BUQUE.</t>
        </is>
      </c>
      <c r="H4" s="10" t="inlineStr">
        <is>
          <t>Pendiente</t>
        </is>
      </c>
      <c r="I4" s="10" t="n"/>
    </row>
    <row r="5" ht="37.5" customHeight="1">
      <c r="A5" s="15" t="inlineStr">
        <is>
          <t>M-17</t>
        </is>
      </c>
      <c r="B5" s="16" t="inlineStr">
        <is>
          <t>agencia</t>
        </is>
      </c>
      <c r="C5" s="16" t="inlineStr">
        <is>
          <t>LINEUP.xlsx — formato agencia (Necochea · Ramallo · AES · Villa Constitución)</t>
        </is>
      </c>
      <c r="D5" s="16" t="inlineStr">
        <is>
          <t>— (no viene)</t>
        </is>
      </c>
      <c r="E5" s="16" t="inlineStr">
        <is>
          <t>LINEUP.xlsx — formato PSN / CGPSN (Cs. Grales · Elevador · Arroyo · PGSM · Timbúes)</t>
        </is>
      </c>
      <c r="F5" s="16" t="inlineStr">
        <is>
          <t>AGENCIA (PTP, ISA, MARSA, AMI…)</t>
        </is>
      </c>
      <c r="G5" s="16" t="inlineStr">
        <is>
          <t>Ref. M-21 por alias. Vacía en la mayoría de los LineUps de terceros. Columna equivalente en la hoja "Integrado": AGENCIA.</t>
        </is>
      </c>
      <c r="H5" s="10" t="inlineStr">
        <is>
          <t>Pendiente</t>
        </is>
      </c>
      <c r="I5" s="10" t="n"/>
    </row>
    <row r="6" ht="37.5" customHeight="1">
      <c r="A6" s="8" t="inlineStr">
        <is>
          <t>M-17</t>
        </is>
      </c>
      <c r="B6" s="9" t="inlineStr">
        <is>
          <t>operador</t>
        </is>
      </c>
      <c r="C6" s="9" t="inlineStr">
        <is>
          <t>LINEUP.xlsx — formato agencia (Necochea · Ramallo · AES · Villa Constitución)</t>
        </is>
      </c>
      <c r="D6" s="9" t="inlineStr">
        <is>
          <t>— (implícito en BERTH)</t>
        </is>
      </c>
      <c r="E6" s="9" t="inlineStr">
        <is>
          <t>LINEUP.xlsx — formato PSN / CGPSN (Cs. Grales · Elevador · Arroyo · PGSM · Timbúes)</t>
        </is>
      </c>
      <c r="F6" s="9" t="inlineStr">
        <is>
          <t>OPERADOR (TYS, PTP, MTR, CASPORT)</t>
        </is>
      </c>
      <c r="G6" s="9" t="inlineStr">
        <is>
          <t>Enumerado / catálogo (Decisión D-2). Columna equivalente en la hoja "Integrado": OPERADOR.</t>
        </is>
      </c>
      <c r="H6" s="10" t="inlineStr">
        <is>
          <t>Pendiente</t>
        </is>
      </c>
      <c r="I6" s="10" t="n"/>
    </row>
    <row r="7" ht="37.5" customHeight="1">
      <c r="A7" s="15" t="inlineStr">
        <is>
          <t>M-17</t>
        </is>
      </c>
      <c r="B7" s="16" t="inlineStr">
        <is>
          <t>cliente / cliente_texto_fuente</t>
        </is>
      </c>
      <c r="C7" s="16" t="inlineStr">
        <is>
          <t>LINEUP.xlsx — formato agencia (Necochea · Ramallo · AES · Villa Constitución)</t>
        </is>
      </c>
      <c r="D7" s="16" t="inlineStr">
        <is>
          <t>SHIIPPER (a veces es el receiver)</t>
        </is>
      </c>
      <c r="E7" s="16" t="inlineStr">
        <is>
          <t>LINEUP.xlsx — formato PSN / CGPSN (Cs. Grales · Elevador · Arroyo · PGSM · Timbúes)</t>
        </is>
      </c>
      <c r="F7" s="16" t="inlineStr">
        <is>
          <t>CLIENTES</t>
        </is>
      </c>
      <c r="G7" s="16" t="inlineStr">
        <is>
          <t>Ref. M-06 por alias. Un buque con varios clientes = varias filas (así viene en PSN Cs. Grales). Columna equivalente en la hoja "Integrado": CLIENTE.</t>
        </is>
      </c>
      <c r="H7" s="10" t="inlineStr">
        <is>
          <t>Pendiente</t>
        </is>
      </c>
      <c r="I7" s="10" t="n"/>
    </row>
    <row r="8" ht="37.5" customHeight="1">
      <c r="A8" s="8" t="inlineStr">
        <is>
          <t>M-17</t>
        </is>
      </c>
      <c r="B8" s="9" t="inlineStr">
        <is>
          <t>shipper</t>
        </is>
      </c>
      <c r="C8" s="9" t="inlineStr">
        <is>
          <t>LINEUP.xlsx — formato agencia (Necochea · Ramallo · AES · Villa Constitución)</t>
        </is>
      </c>
      <c r="D8" s="9" t="inlineStr">
        <is>
          <t>SHIIPPER</t>
        </is>
      </c>
      <c r="E8" s="9" t="inlineStr">
        <is>
          <t>LINEUP.xlsx — formato PSN / CGPSN (Cs. Grales · Elevador · Arroyo · PGSM · Timbúes)</t>
        </is>
      </c>
      <c r="F8" s="9" t="inlineStr">
        <is>
          <t>—</t>
        </is>
      </c>
      <c r="G8" s="9" t="inlineStr">
        <is>
          <t>Texto informativo. Columna equivalente en la hoja "Integrado": SHIPPER.</t>
        </is>
      </c>
      <c r="H8" s="10" t="inlineStr">
        <is>
          <t>Pendiente</t>
        </is>
      </c>
      <c r="I8" s="10" t="n"/>
    </row>
    <row r="9" ht="37.5" customHeight="1">
      <c r="A9" s="15" t="inlineStr">
        <is>
          <t>M-17</t>
        </is>
      </c>
      <c r="B9" s="16" t="inlineStr">
        <is>
          <t>producto / producto_texto_fuente</t>
        </is>
      </c>
      <c r="C9" s="16" t="inlineStr">
        <is>
          <t>LINEUP.xlsx — formato agencia (Necochea · Ramallo · AES · Villa Constitución)</t>
        </is>
      </c>
      <c r="D9" s="16" t="inlineStr">
        <is>
          <t>CAT + CARGO (FERTILIZERS / MAP)</t>
        </is>
      </c>
      <c r="E9" s="16" t="inlineStr">
        <is>
          <t>LINEUP.xlsx — formato PSN / CGPSN (Cs. Grales · Elevador · Arroyo · PGSM · Timbúes)</t>
        </is>
      </c>
      <c r="F9" s="16" t="inlineStr">
        <is>
          <t>MATERIAL (MAP, DAP, UREA, TRIPLE, SMOP…)</t>
        </is>
      </c>
      <c r="G9" s="16" t="inlineStr">
        <is>
          <t>Ref. M-07 por alias; CAT → M-07 Familia. Alias no reconocido → alta provisoria. Columna equivalente en la hoja "Integrado": PRODUCTO.</t>
        </is>
      </c>
      <c r="H9" s="10" t="inlineStr">
        <is>
          <t>Pendiente</t>
        </is>
      </c>
      <c r="I9" s="10" t="n"/>
    </row>
    <row r="10" ht="37.5" customHeight="1">
      <c r="A10" s="8" t="inlineStr">
        <is>
          <t>M-17</t>
        </is>
      </c>
      <c r="B10" s="9" t="inlineStr">
        <is>
          <t>tipo_operacion</t>
        </is>
      </c>
      <c r="C10" s="9" t="inlineStr">
        <is>
          <t>LINEUP.xlsx — formato agencia (Necochea · Ramallo · AES · Villa Constitución)</t>
        </is>
      </c>
      <c r="D10" s="9" t="inlineStr">
        <is>
          <t>OPS (DISCH · LOAD · WTG)</t>
        </is>
      </c>
      <c r="E10" s="9" t="inlineStr">
        <is>
          <t>LINEUP.xlsx — formato PSN / CGPSN (Cs. Grales · Elevador · Arroyo · PGSM · Timbúes)</t>
        </is>
      </c>
      <c r="F10" s="9" t="inlineStr">
        <is>
          <t>OPERACIÓN (DESCARGA · CARGA · TRASBORDO)</t>
        </is>
      </c>
      <c r="G10" s="9" t="inlineStr">
        <is>
          <t>Enumerado unificado: descarga · carga · trasbordo · espera · otro. Columna equivalente en la hoja "Integrado": TIPO.</t>
        </is>
      </c>
      <c r="H10" s="10" t="inlineStr">
        <is>
          <t>Pendiente</t>
        </is>
      </c>
      <c r="I10" s="10" t="n"/>
    </row>
    <row r="11" ht="37.5" customHeight="1">
      <c r="A11" s="15" t="inlineStr">
        <is>
          <t>M-17</t>
        </is>
      </c>
      <c r="B11" s="16" t="inlineStr">
        <is>
          <t>toneladas_nominadas</t>
        </is>
      </c>
      <c r="C11" s="16" t="inlineStr">
        <is>
          <t>LINEUP.xlsx — formato agencia (Necochea · Ramallo · AES · Villa Constitución)</t>
        </is>
      </c>
      <c r="D11" s="16" t="inlineStr">
        <is>
          <t>QUANTITY</t>
        </is>
      </c>
      <c r="E11" s="16" t="inlineStr">
        <is>
          <t>LINEUP.xlsx — formato PSN / CGPSN (Cs. Grales · Elevador · Arroyo · PGSM · Timbúes)</t>
        </is>
      </c>
      <c r="F11" s="16" t="inlineStr">
        <is>
          <t>TONS.</t>
        </is>
      </c>
      <c r="G11" s="16" t="inlineStr">
        <is>
          <t>Decimal tn &gt; 0; las filas de subtotal de la fuente se descartan en la importación. Columna equivalente en la hoja "Integrado": TONELADAS.</t>
        </is>
      </c>
      <c r="H11" s="10" t="inlineStr">
        <is>
          <t>Pendiente</t>
        </is>
      </c>
      <c r="I11" s="10" t="n"/>
    </row>
    <row r="12" ht="50" customHeight="1">
      <c r="A12" s="8" t="inlineStr">
        <is>
          <t>M-17</t>
        </is>
      </c>
      <c r="B12" s="9" t="inlineStr">
        <is>
          <t>toneladas_para_tys · alcance_geografico</t>
        </is>
      </c>
      <c r="C12" s="9" t="inlineStr">
        <is>
          <t>LINEUP.xlsx — formato agencia (Necochea · Ramallo · AES · Villa Constitución)</t>
        </is>
      </c>
      <c r="D12" s="9" t="inlineStr">
        <is>
          <t>—</t>
        </is>
      </c>
      <c r="E12" s="9" t="inlineStr">
        <is>
          <t>LINEUP.xlsx — formato PSN / CGPSN (Cs. Grales · Elevador · Arroyo · PGSM · Timbúes)</t>
        </is>
      </c>
      <c r="F12" s="9" t="inlineStr">
        <is>
          <t>Hoja "Buques Ferti": matriz buque × terminal con leyenda de colores (solo SN · SN + upriver · en CGPSN sin agencia)</t>
        </is>
      </c>
      <c r="G12" s="9" t="inlineStr">
        <is>
          <t>La matriz se reemplaza por los dos atributos: la parte de TyS y el alcance geográfico.</t>
        </is>
      </c>
      <c r="H12" s="10" t="inlineStr">
        <is>
          <t>Pendiente</t>
        </is>
      </c>
      <c r="I12" s="10" t="n"/>
    </row>
    <row r="13" ht="37.5" customHeight="1">
      <c r="A13" s="15" t="inlineStr">
        <is>
          <t>M-17</t>
        </is>
      </c>
      <c r="B13" s="16" t="inlineStr">
        <is>
          <t>origen · destino</t>
        </is>
      </c>
      <c r="C13" s="16" t="inlineStr">
        <is>
          <t>LINEUP.xlsx — formato agencia (Necochea · Ramallo · AES · Villa Constitución)</t>
        </is>
      </c>
      <c r="D13" s="16" t="inlineStr">
        <is>
          <t>ORIGIN · DESTINATION · AREA</t>
        </is>
      </c>
      <c r="E13" s="16" t="inlineStr">
        <is>
          <t>LINEUP.xlsx — formato PSN / CGPSN (Cs. Grales · Elevador · Arroyo · PGSM · Timbúes)</t>
        </is>
      </c>
      <c r="F13" s="16" t="inlineStr">
        <is>
          <t>—</t>
        </is>
      </c>
      <c r="G13" s="16" t="inlineStr">
        <is>
          <t>Texto informativo. Columna equivalente en la hoja "Integrado": ORIGEN · DESTINO.</t>
        </is>
      </c>
      <c r="H13" s="10" t="inlineStr">
        <is>
          <t>Pendiente</t>
        </is>
      </c>
      <c r="I13" s="10" t="n"/>
    </row>
    <row r="14" ht="37.5" customHeight="1">
      <c r="A14" s="8" t="inlineStr">
        <is>
          <t>M-17</t>
        </is>
      </c>
      <c r="B14" s="9" t="inlineStr">
        <is>
          <t>eta · etb · etc</t>
        </is>
      </c>
      <c r="C14" s="9" t="inlineStr">
        <is>
          <t>LINEUP.xlsx — formato agencia (Necochea · Ramallo · AES · Villa Constitución)</t>
        </is>
      </c>
      <c r="D14" s="9" t="inlineStr">
        <is>
          <t>ETA · ETB · ETC</t>
        </is>
      </c>
      <c r="E14" s="9" t="inlineStr">
        <is>
          <t>LINEUP.xlsx — formato PSN / CGPSN (Cs. Grales · Elevador · Arroyo · PGSM · Timbúes)</t>
        </is>
      </c>
      <c r="F14" s="9" t="inlineStr">
        <is>
          <t>READY (= ETA) · ETB · ETC</t>
        </is>
      </c>
      <c r="G14" s="9" t="inlineStr">
        <is>
          <t>Fecha y hora; validar eta ≤ etb ≤ etc. WT (tiempo de espera) es derivado = ETB − ETA: no se carga, se calcula. Columna equivalente en la hoja "Integrado": ETA · ETB · ETC · WT.</t>
        </is>
      </c>
      <c r="H14" s="10" t="inlineStr">
        <is>
          <t>Pendiente</t>
        </is>
      </c>
      <c r="I14" s="10" t="n"/>
    </row>
    <row r="15" ht="37.5" customHeight="1">
      <c r="A15" s="15" t="inlineStr">
        <is>
          <t>M-17</t>
        </is>
      </c>
      <c r="B15" s="16" t="inlineStr">
        <is>
          <t>estado</t>
        </is>
      </c>
      <c r="C15" s="16" t="inlineStr">
        <is>
          <t>LINEUP.xlsx — formato agencia (Necochea · Ramallo · AES · Villa Constitución)</t>
        </is>
      </c>
      <c r="D15" s="16" t="inlineStr">
        <is>
          <t>REMARKS (DISCHARGING · LOADING)</t>
        </is>
      </c>
      <c r="E15" s="16" t="inlineStr">
        <is>
          <t>LINEUP.xlsx — formato PSN / CGPSN (Cs. Grales · Elevador · Arroyo · PGSM · Timbúes)</t>
        </is>
      </c>
      <c r="F15" s="16" t="inlineStr">
        <is>
          <t>ESTADO / OPERANDO (FINALIZADO · TERMINADO · TBC · FINALIZANDO)</t>
        </is>
      </c>
      <c r="G15" s="16" t="inlineStr">
        <is>
          <t>Enumerado unificado; el texto original va a observaciones. Columna equivalente en la hoja "Integrado": STATUS.</t>
        </is>
      </c>
      <c r="H15" s="10" t="inlineStr">
        <is>
          <t>Pendiente</t>
        </is>
      </c>
      <c r="I15" s="10" t="n"/>
    </row>
    <row r="16" ht="37.5" customHeight="1">
      <c r="A16" s="8" t="inlineStr">
        <is>
          <t>M-17</t>
        </is>
      </c>
      <c r="B16" s="9" t="inlineStr">
        <is>
          <t>fuente · fecha_version</t>
        </is>
      </c>
      <c r="C16" s="9" t="inlineStr">
        <is>
          <t>LINEUP.xlsx — formato agencia (Necochea · Ramallo · AES · Villa Constitución)</t>
        </is>
      </c>
      <c r="D16" s="9" t="inlineStr">
        <is>
          <t>Encabezado "LINE UP:" + fecha</t>
        </is>
      </c>
      <c r="E16" s="9" t="inlineStr">
        <is>
          <t>LINEUP.xlsx — formato PSN / CGPSN (Cs. Grales · Elevador · Arroyo · PGSM · Timbúes)</t>
        </is>
      </c>
      <c r="F16" s="9" t="inlineStr">
        <is>
          <t>Encabezado + fecha</t>
        </is>
      </c>
      <c r="G16" s="9" t="inlineStr">
        <is>
          <t>Se toma de la celda de fecha del encabezado de cada hoja (04/09/2026).</t>
        </is>
      </c>
      <c r="H16" s="10" t="inlineStr">
        <is>
          <t>Pendiente</t>
        </is>
      </c>
      <c r="I16" s="10" t="n"/>
    </row>
    <row r="17" ht="37.5" customHeight="1">
      <c r="A17" s="15" t="inlineStr">
        <is>
          <t>M-17</t>
        </is>
      </c>
      <c r="B17" s="16" t="inlineStr">
        <is>
          <t>observaciones</t>
        </is>
      </c>
      <c r="C17" s="16" t="inlineStr">
        <is>
          <t>LINEUP.xlsx — formato agencia (Necochea · Ramallo · AES · Villa Constitución)</t>
        </is>
      </c>
      <c r="D17" s="16" t="inlineStr">
        <is>
          <t>REMARKS</t>
        </is>
      </c>
      <c r="E17" s="16" t="inlineStr">
        <is>
          <t>LINEUP.xlsx — formato PSN / CGPSN (Cs. Grales · Elevador · Arroyo · PGSM · Timbúes)</t>
        </is>
      </c>
      <c r="F17" s="16" t="inlineStr">
        <is>
          <t>Notas al margen ("REVISAR", "SN no TyS")</t>
        </is>
      </c>
      <c r="G17" s="16" t="inlineStr">
        <is>
          <t>Texto libre, fuera de reglas.</t>
        </is>
      </c>
      <c r="H17" s="10" t="inlineStr">
        <is>
          <t>Pendiente</t>
        </is>
      </c>
      <c r="I17" s="10" t="n"/>
    </row>
    <row r="18">
      <c r="A18" s="11" t="inlineStr">
        <is>
          <t>M-06</t>
        </is>
      </c>
      <c r="B18" s="12" t="inlineStr">
        <is>
          <t>cuit · razon_social</t>
        </is>
      </c>
      <c r="C18" s="12" t="inlineStr">
        <is>
          <t>Sistemas actuales (SAF)</t>
        </is>
      </c>
      <c r="D18" s="12" t="inlineStr">
        <is>
          <t>Cliente: CUIT, razón social</t>
        </is>
      </c>
      <c r="E18" s="12" t="inlineStr">
        <is>
          <t>—</t>
        </is>
      </c>
      <c r="F18" s="12" t="inlineStr">
        <is>
          <t>—</t>
        </is>
      </c>
      <c r="G18" s="12" t="inlineStr">
        <is>
          <t>Deduplicar por CUIT; los conflictos de razón social se resuelven a mano.</t>
        </is>
      </c>
      <c r="H18" s="10" t="inlineStr">
        <is>
          <t>Pendiente</t>
        </is>
      </c>
      <c r="I18" s="10" t="n"/>
    </row>
    <row r="19" ht="25" customHeight="1">
      <c r="A19" s="15" t="inlineStr">
        <is>
          <t>M-21</t>
        </is>
      </c>
      <c r="B19" s="16" t="inlineStr">
        <is>
          <t>nombre · identificacion_fiscal</t>
        </is>
      </c>
      <c r="C19" s="16" t="inlineStr">
        <is>
          <t>Excel LineUp últimos 24 meses</t>
        </is>
      </c>
      <c r="D19" s="16" t="inlineStr">
        <is>
          <t>AGENCIA</t>
        </is>
      </c>
      <c r="E19" s="16" t="inlineStr">
        <is>
          <t>LINEUP.xlsx formato PSN</t>
        </is>
      </c>
      <c r="F19" s="16" t="inlineStr">
        <is>
          <t>AGENCIA (PTP, ISA, MARSA, AMI…)</t>
        </is>
      </c>
      <c r="G19" s="16" t="inlineStr">
        <is>
          <t>Normalizar nombre; completar identificación fiscal con Administración.</t>
        </is>
      </c>
      <c r="H19" s="10" t="inlineStr">
        <is>
          <t>Pendiente</t>
        </is>
      </c>
      <c r="I19" s="10" t="n"/>
    </row>
    <row r="20">
      <c r="A20" s="8" t="inlineStr">
        <is>
          <t>M-08</t>
        </is>
      </c>
      <c r="B20" s="9" t="inlineStr">
        <is>
          <t>nombre · numero_imo</t>
        </is>
      </c>
      <c r="C20" s="9" t="inlineStr">
        <is>
          <t>Excel LineUp últimos 24 meses</t>
        </is>
      </c>
      <c r="D20" s="9" t="inlineStr">
        <is>
          <t>BUQUE / VESSEL</t>
        </is>
      </c>
      <c r="E20" s="9" t="inlineStr">
        <is>
          <t>M-17 (alta provisoria)</t>
        </is>
      </c>
      <c r="F20" s="9" t="inlineStr">
        <is>
          <t>buque_texto_fuente</t>
        </is>
      </c>
      <c r="G20" s="9" t="inlineStr">
        <is>
          <t>Buscar y validar el IMO de cada buque; alias MV / MT se quitan.</t>
        </is>
      </c>
      <c r="H20" s="10" t="inlineStr">
        <is>
          <t>Pendiente</t>
        </is>
      </c>
      <c r="I20" s="10" t="n"/>
    </row>
    <row r="21" ht="25" customHeight="1">
      <c r="A21" s="15" t="inlineStr">
        <is>
          <t>M-27</t>
        </is>
      </c>
      <c r="B21" s="16" t="inlineStr">
        <is>
          <t>cuil · nombre · credencial_puerto</t>
        </is>
      </c>
      <c r="C21" s="16" t="inlineStr">
        <is>
          <t>Registro de credenciales de Seguridad Patrimonial</t>
        </is>
      </c>
      <c r="D21" s="16" t="inlineStr">
        <is>
          <t>Chofer, DNI/CUIL, credencial</t>
        </is>
      </c>
      <c r="E21" s="16" t="inlineStr">
        <is>
          <t>Sistema de logística</t>
        </is>
      </c>
      <c r="F21" s="16" t="inlineStr">
        <is>
          <t>Chofer</t>
        </is>
      </c>
      <c r="G21" s="16" t="inlineStr">
        <is>
          <t>Depurar duplicados por CUIL.</t>
        </is>
      </c>
      <c r="H21" s="10" t="inlineStr">
        <is>
          <t>Pendiente</t>
        </is>
      </c>
      <c r="I21" s="10" t="n"/>
    </row>
    <row r="22">
      <c r="A22" s="11" t="inlineStr">
        <is>
          <t>M-11</t>
        </is>
      </c>
      <c r="B22" s="12" t="inlineStr">
        <is>
          <t>codigo · patente · tara_certificada_tn</t>
        </is>
      </c>
      <c r="C22" s="12" t="inlineStr">
        <is>
          <t>Credenciales y checklists de portería</t>
        </is>
      </c>
      <c r="D22" s="12" t="inlineStr">
        <is>
          <t>Patente, tara</t>
        </is>
      </c>
      <c r="E22" s="12" t="inlineStr">
        <is>
          <t>Certificados de tara vigentes</t>
        </is>
      </c>
      <c r="F22" s="12" t="inlineStr">
        <is>
          <t>Tara certificada</t>
        </is>
      </c>
      <c r="G22" s="12" t="inlineStr">
        <is>
          <t>Tara solo desde certificado vigente; sin certificado, queda en borrador.</t>
        </is>
      </c>
      <c r="H22" s="10" t="inlineStr">
        <is>
          <t>Pendiente</t>
        </is>
      </c>
      <c r="I22" s="10" t="n"/>
    </row>
    <row r="23" ht="25" customHeight="1">
      <c r="A23" s="11" t="inlineStr">
        <is>
          <t>M-06</t>
        </is>
      </c>
      <c r="B23" s="12" t="inlineStr">
        <is>
          <t>codigo · razon_social · cuit · tipo · rubro</t>
        </is>
      </c>
      <c r="C23" s="12" t="inlineStr">
        <is>
          <t>Sistemas actuales (SAF)</t>
        </is>
      </c>
      <c r="D23" s="12" t="inlineStr">
        <is>
          <t>Cliente / Proveedor: CUIT, razón social</t>
        </is>
      </c>
      <c r="E23" s="12" t="inlineStr">
        <is>
          <t>Registro de transportistas (Logística)</t>
        </is>
      </c>
      <c r="F23" s="12" t="inlineStr">
        <is>
          <t>Transportista, CUIT, pólizas</t>
        </is>
      </c>
      <c r="G23" s="12" t="inlineStr">
        <is>
          <t>Deduplicar por CUIT: un mismo CUIT que es cliente y proveedor → tipo "cliente y proveedor"; transportistas → tipo proveedor, rubro transporte.</t>
        </is>
      </c>
      <c r="H23" s="10" t="inlineStr">
        <is>
          <t>Pendiente</t>
        </is>
      </c>
      <c r="I23" s="10" t="n"/>
    </row>
    <row r="24" ht="37.5" customHeight="1">
      <c r="A24" s="11" t="inlineStr">
        <is>
          <t>M-11</t>
        </is>
      </c>
      <c r="B24" s="12" t="inlineStr">
        <is>
          <t>codigo · tipo · patente · tara_certificada_tn · capacidad_tn · propiedad</t>
        </is>
      </c>
      <c r="C24" s="12" t="inlineStr">
        <is>
          <t>Credenciales y checklists de portería</t>
        </is>
      </c>
      <c r="D24" s="12" t="inlineStr">
        <is>
          <t>Patente tractor / batea, tara</t>
        </is>
      </c>
      <c r="E24" s="12" t="inlineStr">
        <is>
          <t>Certificados de tara vigentes</t>
        </is>
      </c>
      <c r="F24" s="12" t="inlineStr">
        <is>
          <t>Tara certificada</t>
        </is>
      </c>
      <c r="G24" s="12" t="inlineStr">
        <is>
          <t>Una fila por unidad; patente = tractor / batea; propiedad propia si la unidad es de TyS, tercero con transportista (Ref. M-06).</t>
        </is>
      </c>
      <c r="H24" s="10" t="inlineStr">
        <is>
          <t>Pendiente</t>
        </is>
      </c>
      <c r="I24" s="10" t="n"/>
    </row>
    <row r="25" ht="25" customHeight="1">
      <c r="A25" s="11" t="inlineStr">
        <is>
          <t>M-14</t>
        </is>
      </c>
      <c r="B25" s="12" t="inlineStr">
        <is>
          <t>codigo · nombre · componentes · origen · recursos · controles</t>
        </is>
      </c>
      <c r="C25" s="12" t="inlineStr">
        <is>
          <t>Catálogo de servicios facturables (SAF)</t>
        </is>
      </c>
      <c r="D25" s="12" t="inlineStr">
        <is>
          <t>Servicio</t>
        </is>
      </c>
      <c r="E25" s="12" t="inlineStr">
        <is>
          <t>Modalidades (MD-12 v2.2)</t>
        </is>
      </c>
      <c r="F25" s="12" t="inlineStr">
        <is>
          <t>Modalidad</t>
        </is>
      </c>
      <c r="G25" s="12" t="inlineStr">
        <is>
          <t>Construcción nueva: servicios simples DESC · TRA · ALM y combinados; la modalidad pasa al contrato.</t>
        </is>
      </c>
      <c r="H25" s="10" t="inlineStr">
        <is>
          <t>Pendiente</t>
        </is>
      </c>
      <c r="I25" s="10" t="n"/>
    </row>
    <row r="26" ht="25" customHeight="1">
      <c r="A26" s="11" t="inlineStr">
        <is>
          <t>M-05</t>
        </is>
      </c>
      <c r="B26" s="12" t="inlineStr">
        <is>
          <t>codigo · nombre · tipo · area · dotacion_minima_por_turno ★</t>
        </is>
      </c>
      <c r="C26" s="12" t="inlineStr">
        <is>
          <t>Organigrama / convenios</t>
        </is>
      </c>
      <c r="D26" s="12" t="inlineStr">
        <is>
          <t>Área, puesto</t>
        </is>
      </c>
      <c r="E26" s="12" t="inlineStr">
        <is>
          <t>MD-24 Puestos (v2.2)</t>
        </is>
      </c>
      <c r="F26" s="12" t="inlineStr">
        <is>
          <t>Puesto, dotación mínima</t>
        </is>
      </c>
      <c r="G26" s="12" t="inlineStr">
        <is>
          <t>Registros tipo área y tipo puesto (el puesto referencia su área).</t>
        </is>
      </c>
      <c r="H26" s="10" t="inlineStr">
        <is>
          <t>Pendiente</t>
        </is>
      </c>
      <c r="I26" s="10" t="n"/>
    </row>
    <row r="27" ht="25" customHeight="1">
      <c r="A27" s="35" t="inlineStr">
        <is>
          <t>M-32</t>
        </is>
      </c>
      <c r="B27" s="36" t="inlineStr">
        <is>
          <t>codigo · fecha_prevista · operador_ferroviario · vagones · toneladas · formacion · playa_desvio · ventana</t>
        </is>
      </c>
      <c r="C27" s="36" t="inlineStr">
        <is>
          <t>Aviso del operador ferroviario (correo / planilla BCyL · NCA)</t>
        </is>
      </c>
      <c r="D27" s="36" t="inlineStr">
        <is>
          <t>Tren, formación, cantidad de vagones, tn, fecha</t>
        </is>
      </c>
      <c r="E27" s="36" t="inlineStr">
        <is>
          <t>Planilla interna de Logística (playa de vías)</t>
        </is>
      </c>
      <c r="F27" s="36" t="inlineStr">
        <is>
          <t>Desvío, ventana de descarga</t>
        </is>
      </c>
      <c r="G27" s="36" t="inlineStr">
        <is>
          <t>Operador → Ref. M-06 (rubro ferrocarril) por alias; planta → Ref. M-09; cliente y producto → homologación como en el LineUp. Comercial carga el tramo comercial y Logística el operativo.</t>
        </is>
      </c>
      <c r="H27" s="10" t="inlineStr">
        <is>
          <t>Pendiente</t>
        </is>
      </c>
      <c r="I27" s="10" t="n"/>
    </row>
    <row r="28" ht="25" customHeight="1">
      <c r="A28" s="35" t="inlineStr">
        <is>
          <t>M-33</t>
        </is>
      </c>
      <c r="B28" s="36" t="inlineStr">
        <is>
          <t>codigo · nombre · orden · hora_desde · hora_hasta · duracion_h</t>
        </is>
      </c>
      <c r="C28" s="36" t="inlineStr">
        <is>
          <t>Convenios y régimen de turnos vigente (RRHH)</t>
        </is>
      </c>
      <c r="D28" s="36" t="inlineStr">
        <is>
          <t>Turnos 3 × 8 h</t>
        </is>
      </c>
      <c r="E28" s="36" t="inlineStr">
        <is>
          <t>Definición previa Nº 13</t>
        </is>
      </c>
      <c r="F28" s="36" t="inlineStr">
        <is>
          <t>4 × 6 h</t>
        </is>
      </c>
      <c r="G28" s="36" t="inlineStr">
        <is>
          <t>Se carga el régimen nuevo (T1..T4 de 6 h) con fecha de vigencia; el histórico 3 × 8 queda inactivo para leer operativos viejos.</t>
        </is>
      </c>
      <c r="H28" s="10" t="inlineStr">
        <is>
          <t>Pendiente</t>
        </is>
      </c>
      <c r="I28" s="10" t="n"/>
    </row>
    <row r="29" ht="25" customHeight="1">
      <c r="A29" s="35" t="inlineStr">
        <is>
          <t>M-34</t>
        </is>
      </c>
      <c r="B29" s="36" t="inlineStr">
        <is>
          <t>codigo · nombre · tipo · documento · version · aplica_a · responsable · fecha_vencimiento · accion_al_vencer</t>
        </is>
      </c>
      <c r="C29" s="36" t="inlineStr">
        <is>
          <t>Listado maestro de procedimientos de Seguridad e Higiene</t>
        </is>
      </c>
      <c r="D29" s="36" t="inlineStr">
        <is>
          <t>Código de procedimiento, versión, revisión</t>
        </is>
      </c>
      <c r="E29" s="36" t="inlineStr">
        <is>
          <t>Carpetas de FDS y habilitaciones de operadores</t>
        </is>
      </c>
      <c r="F29" s="36" t="inlineStr">
        <is>
          <t>Documento, vencimiento</t>
        </is>
      </c>
      <c r="G29" s="36" t="inlineStr">
        <is>
          <t>Un registro por documento vigente; tipo según la clase (procedimiento, instructivo, permiso, FDS, plan de emergencia, matriz de EPP, habilitación). Después cada sector asocia el MS a sus recursos (metodo_seguro).</t>
        </is>
      </c>
      <c r="H29" s="10" t="inlineStr">
        <is>
          <t>Pendiente</t>
        </is>
      </c>
      <c r="I29" s="10" t="n"/>
    </row>
    <row r="30" ht="25" customHeight="1">
      <c r="A30" s="35" t="inlineStr">
        <is>
          <t>M-26</t>
        </is>
      </c>
      <c r="B30" s="36" t="inlineStr">
        <is>
          <t>habilitada_fiscal · habilitacion_fiscal_vto</t>
        </is>
      </c>
      <c r="C30" s="36" t="inlineStr">
        <is>
          <t>Resoluciones / habilitaciones de Aduana por balanza</t>
        </is>
      </c>
      <c r="D30" s="36" t="inlineStr">
        <is>
          <t>Balanza, Nº de habilitación, vencimiento</t>
        </is>
      </c>
      <c r="E30" s="36" t="inlineStr">
        <is>
          <t>Registro de Tráfico</t>
        </is>
      </c>
      <c r="F30" s="36" t="inlineStr">
        <is>
          <t>Balanza fiscal / TyS</t>
        </is>
      </c>
      <c r="G30" s="36" t="inlineStr">
        <is>
          <t>V si la balanza puede pesar mercadería no nacionalizada; vencimiento con consecuencia (CV-4).</t>
        </is>
      </c>
      <c r="H30" s="10" t="inlineStr">
        <is>
          <t>Pendiente</t>
        </is>
      </c>
      <c r="I30" s="10" t="n"/>
    </row>
    <row r="31" ht="25" customHeight="1">
      <c r="A31" s="35" t="inlineStr">
        <is>
          <t>M-13</t>
        </is>
      </c>
      <c r="B31" s="36" t="inlineStr">
        <is>
          <t>composicion_roles</t>
        </is>
      </c>
      <c r="C31" s="36" t="inlineStr">
        <is>
          <t>Convenio de estiba (CCT SUPA) y tarifario del proveedor</t>
        </is>
      </c>
      <c r="D31" s="36" t="inlineStr">
        <is>
          <t>Categoría de mano (ej. 8 estibadores + capataz)</t>
        </is>
      </c>
      <c r="E31" s="36" t="inlineStr">
        <is>
          <t>—</t>
        </is>
      </c>
      <c r="F31" s="36" t="inlineStr">
        <is>
          <t>—</t>
        </is>
      </c>
      <c r="G31" s="36" t="inlineStr">
        <is>
          <t>Texto normalizado "n rol · n rol"; la mano se planifica por categoría × cantidad.</t>
        </is>
      </c>
      <c r="H31" s="10" t="inlineStr">
        <is>
          <t>Pendiente</t>
        </is>
      </c>
      <c r="I31" s="10" t="n"/>
    </row>
    <row r="32" ht="25" customHeight="1">
      <c r="A32" s="35" t="inlineStr">
        <is>
          <t>M-31</t>
        </is>
      </c>
      <c r="B32" s="36" t="inlineStr">
        <is>
          <t>codigo · fecha · planta · cliente · producto · contrato · camiones · toneladas · tipo_movimiento · turno · porton · confirmacion_planta</t>
        </is>
      </c>
      <c r="C32" s="36" t="inlineStr">
        <is>
          <t>Planilla de cupos de Comercial</t>
        </is>
      </c>
      <c r="D32" s="36" t="inlineStr">
        <is>
          <t>Día, cliente, producto, camiones, tn</t>
        </is>
      </c>
      <c r="E32" s="36" t="inlineStr">
        <is>
          <t>Planilla de portería (Tráfico)</t>
        </is>
      </c>
      <c r="F32" s="36" t="inlineStr">
        <is>
          <t>Turno, portón</t>
        </is>
      </c>
      <c r="G32" s="36" t="inlineStr">
        <is>
          <t>Se unifican en un solo registro con dos tramos: comercial (Comercial) y de portería (Tráfico).</t>
        </is>
      </c>
      <c r="H32" s="10" t="inlineStr">
        <is>
          <t>Pendiente</t>
        </is>
      </c>
      <c r="I32" s="10" t="n"/>
    </row>
    <row r="33">
      <c r="A33" s="21" t="n"/>
      <c r="B33" s="21" t="n"/>
      <c r="C33" s="21" t="n"/>
      <c r="D33" s="21" t="n"/>
      <c r="E33" s="21" t="n"/>
      <c r="F33" s="21" t="n"/>
      <c r="G33" s="21" t="n"/>
      <c r="H33" s="22" t="n"/>
      <c r="I33" s="22" t="n"/>
    </row>
    <row r="34">
      <c r="A34" s="21" t="n"/>
      <c r="B34" s="21" t="n"/>
      <c r="C34" s="21" t="n"/>
      <c r="D34" s="21" t="n"/>
      <c r="E34" s="21" t="n"/>
      <c r="F34" s="21" t="n"/>
      <c r="G34" s="21" t="n"/>
      <c r="H34" s="22" t="n"/>
      <c r="I34" s="22" t="n"/>
    </row>
    <row r="35">
      <c r="A35" s="21" t="n"/>
      <c r="B35" s="21" t="n"/>
      <c r="C35" s="21" t="n"/>
      <c r="D35" s="21" t="n"/>
      <c r="E35" s="21" t="n"/>
      <c r="F35" s="21" t="n"/>
      <c r="G35" s="21" t="n"/>
      <c r="H35" s="22" t="n"/>
      <c r="I35" s="22" t="n"/>
    </row>
    <row r="36">
      <c r="A36" s="21" t="n"/>
      <c r="B36" s="21" t="n"/>
      <c r="C36" s="21" t="n"/>
      <c r="D36" s="21" t="n"/>
      <c r="E36" s="21" t="n"/>
      <c r="F36" s="21" t="n"/>
      <c r="G36" s="21" t="n"/>
      <c r="H36" s="22" t="n"/>
      <c r="I36" s="22" t="n"/>
    </row>
  </sheetData>
  <autoFilter ref="A1:I32"/>
  <dataValidations count="1">
    <dataValidation sqref="H2:H32" showDropDown="0" showInputMessage="0" showErrorMessage="0" allowBlank="1" type="list">
      <formula1>"Pendiente,Validado,Con cambios,Eliminar"</formula1>
    </dataValidation>
  </dataValidation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354A5F"/>
    <outlinePr summaryBelow="1" summaryRight="1"/>
    <pageSetUpPr/>
  </sheetPr>
  <dimension ref="A1:K39"/>
  <sheetViews>
    <sheetView zoomScaleNormal="100" workbookViewId="0">
      <pane ySplit="1" topLeftCell="A2" activePane="bottomLeft" state="frozen"/>
      <selection pane="bottomLeft" activeCell="A1" sqref="A1:XFD1"/>
    </sheetView>
  </sheetViews>
  <sheetFormatPr baseColWidth="10" defaultColWidth="8.6328125" defaultRowHeight="14.5"/>
  <cols>
    <col width="10" customWidth="1" min="1" max="1"/>
    <col width="34" customWidth="1" min="2" max="2"/>
    <col width="8" customWidth="1" min="3" max="3"/>
    <col width="11" customWidth="1" min="4" max="4"/>
    <col width="14" customWidth="1" min="5" max="7"/>
    <col width="13" customWidth="1" min="8" max="9"/>
    <col width="16" customWidth="1" min="10" max="10"/>
    <col width="14" customWidth="1" min="11" max="11"/>
  </cols>
  <sheetData>
    <row r="1" ht="30" customFormat="1" customHeight="1" s="28">
      <c r="A1" s="27" t="inlineStr">
        <is>
          <t>Maestro</t>
        </is>
      </c>
      <c r="B1" s="27" t="inlineStr">
        <is>
          <t>Nombre</t>
        </is>
      </c>
      <c r="C1" s="27" t="inlineStr">
        <is>
          <t>Nivel</t>
        </is>
      </c>
      <c r="D1" s="27" t="inlineStr">
        <is>
          <t>Atributos</t>
        </is>
      </c>
      <c r="E1" s="27" t="inlineStr">
        <is>
          <t>Atributos ★ (simulador)</t>
        </is>
      </c>
      <c r="F1" s="27" t="inlineStr">
        <is>
          <t>Atributos validados</t>
        </is>
      </c>
      <c r="G1" s="27" t="inlineStr">
        <is>
          <t>Atributos con cambios</t>
        </is>
      </c>
      <c r="H1" s="27" t="inlineStr">
        <is>
          <t>Reglas definidas</t>
        </is>
      </c>
      <c r="I1" s="27" t="inlineStr">
        <is>
          <t>Reglas validadas</t>
        </is>
      </c>
      <c r="J1" s="27" t="inlineStr">
        <is>
          <t>Ficha revisada</t>
        </is>
      </c>
      <c r="K1" s="27" t="inlineStr">
        <is>
          <t>Atributos revisión 15/09</t>
        </is>
      </c>
    </row>
    <row r="2">
      <c r="A2" s="9">
        <f>'1-Fichas de entidades'!A2</f>
        <v/>
      </c>
      <c r="B2" s="9">
        <f>'1-Fichas de entidades'!B2</f>
        <v/>
      </c>
      <c r="C2" s="9">
        <f>'1-Fichas de entidades'!E2</f>
        <v/>
      </c>
      <c r="D2" s="9">
        <f>COUNTIF('2-Atributos'!$A:$A,A2)</f>
        <v/>
      </c>
      <c r="E2" s="9">
        <f>COUNTIFS('2-Atributos'!$A:$A,A2,'2-Atributos'!$J:$J,"★ Simulador")</f>
        <v/>
      </c>
      <c r="F2" s="9">
        <f>COUNTIFS('2-Atributos'!$A:$A,A2,'2-Atributos'!$M:$M,"Validado")</f>
        <v/>
      </c>
      <c r="G2" s="9">
        <f>COUNTIFS('2-Atributos'!$A:$A,A2,'2-Atributos'!$M:$M,"Con cambios")</f>
        <v/>
      </c>
      <c r="H2" s="9">
        <f>COUNTIF('7-Reglas por maestro'!$A:$A,A2)</f>
        <v/>
      </c>
      <c r="I2" s="9">
        <f>COUNTIFS('7-Reglas por maestro'!$A:$A,A2,'7-Reglas por maestro'!$J:$J,"Validado")</f>
        <v/>
      </c>
      <c r="J2" s="9">
        <f>'1-Fichas de entidades'!O2</f>
        <v/>
      </c>
      <c r="K2" s="9">
        <f>COUNTIFS('2-Atributos'!$A:$A,A2,'2-Atributos'!$J:$J,"Revisión 15/09/2026")</f>
        <v/>
      </c>
    </row>
    <row r="3">
      <c r="A3" s="16">
        <f>'1-Fichas de entidades'!A3</f>
        <v/>
      </c>
      <c r="B3" s="16">
        <f>'1-Fichas de entidades'!B3</f>
        <v/>
      </c>
      <c r="C3" s="16">
        <f>'1-Fichas de entidades'!E3</f>
        <v/>
      </c>
      <c r="D3" s="16">
        <f>COUNTIF('2-Atributos'!$A:$A,A3)</f>
        <v/>
      </c>
      <c r="E3" s="16">
        <f>COUNTIFS('2-Atributos'!$A:$A,A3,'2-Atributos'!$J:$J,"★ Simulador")</f>
        <v/>
      </c>
      <c r="F3" s="16">
        <f>COUNTIFS('2-Atributos'!$A:$A,A3,'2-Atributos'!$M:$M,"Validado")</f>
        <v/>
      </c>
      <c r="G3" s="16">
        <f>COUNTIFS('2-Atributos'!$A:$A,A3,'2-Atributos'!$M:$M,"Con cambios")</f>
        <v/>
      </c>
      <c r="H3" s="16">
        <f>COUNTIF('7-Reglas por maestro'!$A:$A,A3)</f>
        <v/>
      </c>
      <c r="I3" s="16">
        <f>COUNTIFS('7-Reglas por maestro'!$A:$A,A3,'7-Reglas por maestro'!$J:$J,"Validado")</f>
        <v/>
      </c>
      <c r="J3" s="16">
        <f>'1-Fichas de entidades'!O3</f>
        <v/>
      </c>
      <c r="K3" s="16">
        <f>COUNTIFS('2-Atributos'!$A:$A,A3,'2-Atributos'!$J:$J,"Revisión 15/09/2026")</f>
        <v/>
      </c>
    </row>
    <row r="4">
      <c r="A4" s="9">
        <f>'1-Fichas de entidades'!A4</f>
        <v/>
      </c>
      <c r="B4" s="9">
        <f>'1-Fichas de entidades'!B4</f>
        <v/>
      </c>
      <c r="C4" s="9">
        <f>'1-Fichas de entidades'!E4</f>
        <v/>
      </c>
      <c r="D4" s="9">
        <f>COUNTIF('2-Atributos'!$A:$A,A4)</f>
        <v/>
      </c>
      <c r="E4" s="9">
        <f>COUNTIFS('2-Atributos'!$A:$A,A4,'2-Atributos'!$J:$J,"★ Simulador")</f>
        <v/>
      </c>
      <c r="F4" s="9">
        <f>COUNTIFS('2-Atributos'!$A:$A,A4,'2-Atributos'!$M:$M,"Validado")</f>
        <v/>
      </c>
      <c r="G4" s="9">
        <f>COUNTIFS('2-Atributos'!$A:$A,A4,'2-Atributos'!$M:$M,"Con cambios")</f>
        <v/>
      </c>
      <c r="H4" s="9">
        <f>COUNTIF('7-Reglas por maestro'!$A:$A,A4)</f>
        <v/>
      </c>
      <c r="I4" s="9">
        <f>COUNTIFS('7-Reglas por maestro'!$A:$A,A4,'7-Reglas por maestro'!$J:$J,"Validado")</f>
        <v/>
      </c>
      <c r="J4" s="9">
        <f>'1-Fichas de entidades'!O4</f>
        <v/>
      </c>
      <c r="K4" s="9">
        <f>COUNTIFS('2-Atributos'!$A:$A,A4,'2-Atributos'!$J:$J,"Revisión 15/09/2026")</f>
        <v/>
      </c>
    </row>
    <row r="5">
      <c r="A5" s="16">
        <f>'1-Fichas de entidades'!A5</f>
        <v/>
      </c>
      <c r="B5" s="16">
        <f>'1-Fichas de entidades'!B5</f>
        <v/>
      </c>
      <c r="C5" s="16">
        <f>'1-Fichas de entidades'!E5</f>
        <v/>
      </c>
      <c r="D5" s="16">
        <f>COUNTIF('2-Atributos'!$A:$A,A5)</f>
        <v/>
      </c>
      <c r="E5" s="16">
        <f>COUNTIFS('2-Atributos'!$A:$A,A5,'2-Atributos'!$J:$J,"★ Simulador")</f>
        <v/>
      </c>
      <c r="F5" s="16">
        <f>COUNTIFS('2-Atributos'!$A:$A,A5,'2-Atributos'!$M:$M,"Validado")</f>
        <v/>
      </c>
      <c r="G5" s="16">
        <f>COUNTIFS('2-Atributos'!$A:$A,A5,'2-Atributos'!$M:$M,"Con cambios")</f>
        <v/>
      </c>
      <c r="H5" s="16">
        <f>COUNTIF('7-Reglas por maestro'!$A:$A,A5)</f>
        <v/>
      </c>
      <c r="I5" s="16">
        <f>COUNTIFS('7-Reglas por maestro'!$A:$A,A5,'7-Reglas por maestro'!$J:$J,"Validado")</f>
        <v/>
      </c>
      <c r="J5" s="16">
        <f>'1-Fichas de entidades'!O5</f>
        <v/>
      </c>
      <c r="K5" s="16">
        <f>COUNTIFS('2-Atributos'!$A:$A,A5,'2-Atributos'!$J:$J,"Revisión 15/09/2026")</f>
        <v/>
      </c>
    </row>
    <row r="6">
      <c r="A6" s="9">
        <f>'1-Fichas de entidades'!A6</f>
        <v/>
      </c>
      <c r="B6" s="9">
        <f>'1-Fichas de entidades'!B6</f>
        <v/>
      </c>
      <c r="C6" s="9">
        <f>'1-Fichas de entidades'!E6</f>
        <v/>
      </c>
      <c r="D6" s="9">
        <f>COUNTIF('2-Atributos'!$A:$A,A6)</f>
        <v/>
      </c>
      <c r="E6" s="9">
        <f>COUNTIFS('2-Atributos'!$A:$A,A6,'2-Atributos'!$J:$J,"★ Simulador")</f>
        <v/>
      </c>
      <c r="F6" s="9">
        <f>COUNTIFS('2-Atributos'!$A:$A,A6,'2-Atributos'!$M:$M,"Validado")</f>
        <v/>
      </c>
      <c r="G6" s="9">
        <f>COUNTIFS('2-Atributos'!$A:$A,A6,'2-Atributos'!$M:$M,"Con cambios")</f>
        <v/>
      </c>
      <c r="H6" s="9">
        <f>COUNTIF('7-Reglas por maestro'!$A:$A,A6)</f>
        <v/>
      </c>
      <c r="I6" s="9">
        <f>COUNTIFS('7-Reglas por maestro'!$A:$A,A6,'7-Reglas por maestro'!$J:$J,"Validado")</f>
        <v/>
      </c>
      <c r="J6" s="9">
        <f>'1-Fichas de entidades'!O6</f>
        <v/>
      </c>
      <c r="K6" s="9">
        <f>COUNTIFS('2-Atributos'!$A:$A,A6,'2-Atributos'!$J:$J,"Revisión 15/09/2026")</f>
        <v/>
      </c>
    </row>
    <row r="7">
      <c r="A7" s="16">
        <f>'1-Fichas de entidades'!A7</f>
        <v/>
      </c>
      <c r="B7" s="16">
        <f>'1-Fichas de entidades'!B7</f>
        <v/>
      </c>
      <c r="C7" s="16">
        <f>'1-Fichas de entidades'!E7</f>
        <v/>
      </c>
      <c r="D7" s="16">
        <f>COUNTIF('2-Atributos'!$A:$A,A7)</f>
        <v/>
      </c>
      <c r="E7" s="16">
        <f>COUNTIFS('2-Atributos'!$A:$A,A7,'2-Atributos'!$J:$J,"★ Simulador")</f>
        <v/>
      </c>
      <c r="F7" s="16">
        <f>COUNTIFS('2-Atributos'!$A:$A,A7,'2-Atributos'!$M:$M,"Validado")</f>
        <v/>
      </c>
      <c r="G7" s="16">
        <f>COUNTIFS('2-Atributos'!$A:$A,A7,'2-Atributos'!$M:$M,"Con cambios")</f>
        <v/>
      </c>
      <c r="H7" s="16">
        <f>COUNTIF('7-Reglas por maestro'!$A:$A,A7)</f>
        <v/>
      </c>
      <c r="I7" s="16">
        <f>COUNTIFS('7-Reglas por maestro'!$A:$A,A7,'7-Reglas por maestro'!$J:$J,"Validado")</f>
        <v/>
      </c>
      <c r="J7" s="16">
        <f>'1-Fichas de entidades'!O7</f>
        <v/>
      </c>
      <c r="K7" s="16">
        <f>COUNTIFS('2-Atributos'!$A:$A,A7,'2-Atributos'!$J:$J,"Revisión 15/09/2026")</f>
        <v/>
      </c>
    </row>
    <row r="8">
      <c r="A8" s="9">
        <f>'1-Fichas de entidades'!A8</f>
        <v/>
      </c>
      <c r="B8" s="9">
        <f>'1-Fichas de entidades'!B8</f>
        <v/>
      </c>
      <c r="C8" s="9">
        <f>'1-Fichas de entidades'!E8</f>
        <v/>
      </c>
      <c r="D8" s="9">
        <f>COUNTIF('2-Atributos'!$A:$A,A8)</f>
        <v/>
      </c>
      <c r="E8" s="9">
        <f>COUNTIFS('2-Atributos'!$A:$A,A8,'2-Atributos'!$J:$J,"★ Simulador")</f>
        <v/>
      </c>
      <c r="F8" s="9">
        <f>COUNTIFS('2-Atributos'!$A:$A,A8,'2-Atributos'!$M:$M,"Validado")</f>
        <v/>
      </c>
      <c r="G8" s="9">
        <f>COUNTIFS('2-Atributos'!$A:$A,A8,'2-Atributos'!$M:$M,"Con cambios")</f>
        <v/>
      </c>
      <c r="H8" s="9">
        <f>COUNTIF('7-Reglas por maestro'!$A:$A,A8)</f>
        <v/>
      </c>
      <c r="I8" s="9">
        <f>COUNTIFS('7-Reglas por maestro'!$A:$A,A8,'7-Reglas por maestro'!$J:$J,"Validado")</f>
        <v/>
      </c>
      <c r="J8" s="9">
        <f>'1-Fichas de entidades'!O8</f>
        <v/>
      </c>
      <c r="K8" s="9">
        <f>COUNTIFS('2-Atributos'!$A:$A,A8,'2-Atributos'!$J:$J,"Revisión 15/09/2026")</f>
        <v/>
      </c>
    </row>
    <row r="9">
      <c r="A9" s="16">
        <f>'1-Fichas de entidades'!A9</f>
        <v/>
      </c>
      <c r="B9" s="16">
        <f>'1-Fichas de entidades'!B9</f>
        <v/>
      </c>
      <c r="C9" s="16">
        <f>'1-Fichas de entidades'!E9</f>
        <v/>
      </c>
      <c r="D9" s="16">
        <f>COUNTIF('2-Atributos'!$A:$A,A9)</f>
        <v/>
      </c>
      <c r="E9" s="16">
        <f>COUNTIFS('2-Atributos'!$A:$A,A9,'2-Atributos'!$J:$J,"★ Simulador")</f>
        <v/>
      </c>
      <c r="F9" s="16">
        <f>COUNTIFS('2-Atributos'!$A:$A,A9,'2-Atributos'!$M:$M,"Validado")</f>
        <v/>
      </c>
      <c r="G9" s="16">
        <f>COUNTIFS('2-Atributos'!$A:$A,A9,'2-Atributos'!$M:$M,"Con cambios")</f>
        <v/>
      </c>
      <c r="H9" s="16">
        <f>COUNTIF('7-Reglas por maestro'!$A:$A,A9)</f>
        <v/>
      </c>
      <c r="I9" s="16">
        <f>COUNTIFS('7-Reglas por maestro'!$A:$A,A9,'7-Reglas por maestro'!$J:$J,"Validado")</f>
        <v/>
      </c>
      <c r="J9" s="16">
        <f>'1-Fichas de entidades'!O9</f>
        <v/>
      </c>
      <c r="K9" s="16">
        <f>COUNTIFS('2-Atributos'!$A:$A,A9,'2-Atributos'!$J:$J,"Revisión 15/09/2026")</f>
        <v/>
      </c>
    </row>
    <row r="10">
      <c r="A10" s="9">
        <f>'1-Fichas de entidades'!A10</f>
        <v/>
      </c>
      <c r="B10" s="9">
        <f>'1-Fichas de entidades'!B10</f>
        <v/>
      </c>
      <c r="C10" s="9">
        <f>'1-Fichas de entidades'!E10</f>
        <v/>
      </c>
      <c r="D10" s="9">
        <f>COUNTIF('2-Atributos'!$A:$A,A10)</f>
        <v/>
      </c>
      <c r="E10" s="9">
        <f>COUNTIFS('2-Atributos'!$A:$A,A10,'2-Atributos'!$J:$J,"★ Simulador")</f>
        <v/>
      </c>
      <c r="F10" s="9">
        <f>COUNTIFS('2-Atributos'!$A:$A,A10,'2-Atributos'!$M:$M,"Validado")</f>
        <v/>
      </c>
      <c r="G10" s="9">
        <f>COUNTIFS('2-Atributos'!$A:$A,A10,'2-Atributos'!$M:$M,"Con cambios")</f>
        <v/>
      </c>
      <c r="H10" s="9">
        <f>COUNTIF('7-Reglas por maestro'!$A:$A,A10)</f>
        <v/>
      </c>
      <c r="I10" s="9">
        <f>COUNTIFS('7-Reglas por maestro'!$A:$A,A10,'7-Reglas por maestro'!$J:$J,"Validado")</f>
        <v/>
      </c>
      <c r="J10" s="9">
        <f>'1-Fichas de entidades'!O10</f>
        <v/>
      </c>
      <c r="K10" s="9">
        <f>COUNTIFS('2-Atributos'!$A:$A,A10,'2-Atributos'!$J:$J,"Revisión 15/09/2026")</f>
        <v/>
      </c>
    </row>
    <row r="11">
      <c r="A11" s="16">
        <f>'1-Fichas de entidades'!A11</f>
        <v/>
      </c>
      <c r="B11" s="16">
        <f>'1-Fichas de entidades'!B11</f>
        <v/>
      </c>
      <c r="C11" s="16">
        <f>'1-Fichas de entidades'!E11</f>
        <v/>
      </c>
      <c r="D11" s="16">
        <f>COUNTIF('2-Atributos'!$A:$A,A11)</f>
        <v/>
      </c>
      <c r="E11" s="16">
        <f>COUNTIFS('2-Atributos'!$A:$A,A11,'2-Atributos'!$J:$J,"★ Simulador")</f>
        <v/>
      </c>
      <c r="F11" s="16">
        <f>COUNTIFS('2-Atributos'!$A:$A,A11,'2-Atributos'!$M:$M,"Validado")</f>
        <v/>
      </c>
      <c r="G11" s="16">
        <f>COUNTIFS('2-Atributos'!$A:$A,A11,'2-Atributos'!$M:$M,"Con cambios")</f>
        <v/>
      </c>
      <c r="H11" s="16">
        <f>COUNTIF('7-Reglas por maestro'!$A:$A,A11)</f>
        <v/>
      </c>
      <c r="I11" s="16">
        <f>COUNTIFS('7-Reglas por maestro'!$A:$A,A11,'7-Reglas por maestro'!$J:$J,"Validado")</f>
        <v/>
      </c>
      <c r="J11" s="16">
        <f>'1-Fichas de entidades'!O11</f>
        <v/>
      </c>
      <c r="K11" s="16">
        <f>COUNTIFS('2-Atributos'!$A:$A,A11,'2-Atributos'!$J:$J,"Revisión 15/09/2026")</f>
        <v/>
      </c>
    </row>
    <row r="12" ht="25" customHeight="1">
      <c r="A12" s="9">
        <f>'1-Fichas de entidades'!A12</f>
        <v/>
      </c>
      <c r="B12" s="9">
        <f>'1-Fichas de entidades'!B12</f>
        <v/>
      </c>
      <c r="C12" s="9">
        <f>'1-Fichas de entidades'!E12</f>
        <v/>
      </c>
      <c r="D12" s="9">
        <f>COUNTIF('2-Atributos'!$A:$A,A12)</f>
        <v/>
      </c>
      <c r="E12" s="9">
        <f>COUNTIFS('2-Atributos'!$A:$A,A12,'2-Atributos'!$J:$J,"★ Simulador")</f>
        <v/>
      </c>
      <c r="F12" s="9">
        <f>COUNTIFS('2-Atributos'!$A:$A,A12,'2-Atributos'!$M:$M,"Validado")</f>
        <v/>
      </c>
      <c r="G12" s="9">
        <f>COUNTIFS('2-Atributos'!$A:$A,A12,'2-Atributos'!$M:$M,"Con cambios")</f>
        <v/>
      </c>
      <c r="H12" s="9">
        <f>COUNTIF('7-Reglas por maestro'!$A:$A,A12)</f>
        <v/>
      </c>
      <c r="I12" s="9">
        <f>COUNTIFS('7-Reglas por maestro'!$A:$A,A12,'7-Reglas por maestro'!$J:$J,"Validado")</f>
        <v/>
      </c>
      <c r="J12" s="9">
        <f>'1-Fichas de entidades'!O12</f>
        <v/>
      </c>
      <c r="K12" s="9">
        <f>COUNTIFS('2-Atributos'!$A:$A,A12,'2-Atributos'!$J:$J,"Revisión 15/09/2026")</f>
        <v/>
      </c>
    </row>
    <row r="13">
      <c r="A13" s="16">
        <f>'1-Fichas de entidades'!A13</f>
        <v/>
      </c>
      <c r="B13" s="16">
        <f>'1-Fichas de entidades'!B13</f>
        <v/>
      </c>
      <c r="C13" s="16">
        <f>'1-Fichas de entidades'!E13</f>
        <v/>
      </c>
      <c r="D13" s="16">
        <f>COUNTIF('2-Atributos'!$A:$A,A13)</f>
        <v/>
      </c>
      <c r="E13" s="16">
        <f>COUNTIFS('2-Atributos'!$A:$A,A13,'2-Atributos'!$J:$J,"★ Simulador")</f>
        <v/>
      </c>
      <c r="F13" s="16">
        <f>COUNTIFS('2-Atributos'!$A:$A,A13,'2-Atributos'!$M:$M,"Validado")</f>
        <v/>
      </c>
      <c r="G13" s="16">
        <f>COUNTIFS('2-Atributos'!$A:$A,A13,'2-Atributos'!$M:$M,"Con cambios")</f>
        <v/>
      </c>
      <c r="H13" s="16">
        <f>COUNTIF('7-Reglas por maestro'!$A:$A,A13)</f>
        <v/>
      </c>
      <c r="I13" s="16">
        <f>COUNTIFS('7-Reglas por maestro'!$A:$A,A13,'7-Reglas por maestro'!$J:$J,"Validado")</f>
        <v/>
      </c>
      <c r="J13" s="16">
        <f>'1-Fichas de entidades'!O13</f>
        <v/>
      </c>
      <c r="K13" s="16">
        <f>COUNTIFS('2-Atributos'!$A:$A,A13,'2-Atributos'!$J:$J,"Revisión 15/09/2026")</f>
        <v/>
      </c>
    </row>
    <row r="14">
      <c r="A14" s="9">
        <f>'1-Fichas de entidades'!A14</f>
        <v/>
      </c>
      <c r="B14" s="9">
        <f>'1-Fichas de entidades'!B14</f>
        <v/>
      </c>
      <c r="C14" s="9">
        <f>'1-Fichas de entidades'!E14</f>
        <v/>
      </c>
      <c r="D14" s="9">
        <f>COUNTIF('2-Atributos'!$A:$A,A14)</f>
        <v/>
      </c>
      <c r="E14" s="9">
        <f>COUNTIFS('2-Atributos'!$A:$A,A14,'2-Atributos'!$J:$J,"★ Simulador")</f>
        <v/>
      </c>
      <c r="F14" s="9">
        <f>COUNTIFS('2-Atributos'!$A:$A,A14,'2-Atributos'!$M:$M,"Validado")</f>
        <v/>
      </c>
      <c r="G14" s="9">
        <f>COUNTIFS('2-Atributos'!$A:$A,A14,'2-Atributos'!$M:$M,"Con cambios")</f>
        <v/>
      </c>
      <c r="H14" s="9">
        <f>COUNTIF('7-Reglas por maestro'!$A:$A,A14)</f>
        <v/>
      </c>
      <c r="I14" s="9">
        <f>COUNTIFS('7-Reglas por maestro'!$A:$A,A14,'7-Reglas por maestro'!$J:$J,"Validado")</f>
        <v/>
      </c>
      <c r="J14" s="9">
        <f>'1-Fichas de entidades'!O14</f>
        <v/>
      </c>
      <c r="K14" s="9">
        <f>COUNTIFS('2-Atributos'!$A:$A,A14,'2-Atributos'!$J:$J,"Revisión 15/09/2026")</f>
        <v/>
      </c>
    </row>
    <row r="15">
      <c r="A15" s="16">
        <f>'1-Fichas de entidades'!A15</f>
        <v/>
      </c>
      <c r="B15" s="16">
        <f>'1-Fichas de entidades'!B15</f>
        <v/>
      </c>
      <c r="C15" s="16">
        <f>'1-Fichas de entidades'!E15</f>
        <v/>
      </c>
      <c r="D15" s="16">
        <f>COUNTIF('2-Atributos'!$A:$A,A15)</f>
        <v/>
      </c>
      <c r="E15" s="16">
        <f>COUNTIFS('2-Atributos'!$A:$A,A15,'2-Atributos'!$J:$J,"★ Simulador")</f>
        <v/>
      </c>
      <c r="F15" s="16">
        <f>COUNTIFS('2-Atributos'!$A:$A,A15,'2-Atributos'!$M:$M,"Validado")</f>
        <v/>
      </c>
      <c r="G15" s="16">
        <f>COUNTIFS('2-Atributos'!$A:$A,A15,'2-Atributos'!$M:$M,"Con cambios")</f>
        <v/>
      </c>
      <c r="H15" s="16">
        <f>COUNTIF('7-Reglas por maestro'!$A:$A,A15)</f>
        <v/>
      </c>
      <c r="I15" s="16">
        <f>COUNTIFS('7-Reglas por maestro'!$A:$A,A15,'7-Reglas por maestro'!$J:$J,"Validado")</f>
        <v/>
      </c>
      <c r="J15" s="16">
        <f>'1-Fichas de entidades'!O15</f>
        <v/>
      </c>
      <c r="K15" s="16">
        <f>COUNTIFS('2-Atributos'!$A:$A,A15,'2-Atributos'!$J:$J,"Revisión 15/09/2026")</f>
        <v/>
      </c>
    </row>
    <row r="16">
      <c r="A16" s="9">
        <f>'1-Fichas de entidades'!A16</f>
        <v/>
      </c>
      <c r="B16" s="9">
        <f>'1-Fichas de entidades'!B16</f>
        <v/>
      </c>
      <c r="C16" s="9">
        <f>'1-Fichas de entidades'!E16</f>
        <v/>
      </c>
      <c r="D16" s="9">
        <f>COUNTIF('2-Atributos'!$A:$A,A16)</f>
        <v/>
      </c>
      <c r="E16" s="9">
        <f>COUNTIFS('2-Atributos'!$A:$A,A16,'2-Atributos'!$J:$J,"★ Simulador")</f>
        <v/>
      </c>
      <c r="F16" s="9">
        <f>COUNTIFS('2-Atributos'!$A:$A,A16,'2-Atributos'!$M:$M,"Validado")</f>
        <v/>
      </c>
      <c r="G16" s="9">
        <f>COUNTIFS('2-Atributos'!$A:$A,A16,'2-Atributos'!$M:$M,"Con cambios")</f>
        <v/>
      </c>
      <c r="H16" s="9">
        <f>COUNTIF('7-Reglas por maestro'!$A:$A,A16)</f>
        <v/>
      </c>
      <c r="I16" s="9">
        <f>COUNTIFS('7-Reglas por maestro'!$A:$A,A16,'7-Reglas por maestro'!$J:$J,"Validado")</f>
        <v/>
      </c>
      <c r="J16" s="9">
        <f>'1-Fichas de entidades'!O16</f>
        <v/>
      </c>
      <c r="K16" s="9">
        <f>COUNTIFS('2-Atributos'!$A:$A,A16,'2-Atributos'!$J:$J,"Revisión 15/09/2026")</f>
        <v/>
      </c>
    </row>
    <row r="17">
      <c r="A17" s="16">
        <f>'1-Fichas de entidades'!A17</f>
        <v/>
      </c>
      <c r="B17" s="16">
        <f>'1-Fichas de entidades'!B17</f>
        <v/>
      </c>
      <c r="C17" s="16">
        <f>'1-Fichas de entidades'!E17</f>
        <v/>
      </c>
      <c r="D17" s="16">
        <f>COUNTIF('2-Atributos'!$A:$A,A17)</f>
        <v/>
      </c>
      <c r="E17" s="16">
        <f>COUNTIFS('2-Atributos'!$A:$A,A17,'2-Atributos'!$J:$J,"★ Simulador")</f>
        <v/>
      </c>
      <c r="F17" s="16">
        <f>COUNTIFS('2-Atributos'!$A:$A,A17,'2-Atributos'!$M:$M,"Validado")</f>
        <v/>
      </c>
      <c r="G17" s="16">
        <f>COUNTIFS('2-Atributos'!$A:$A,A17,'2-Atributos'!$M:$M,"Con cambios")</f>
        <v/>
      </c>
      <c r="H17" s="16">
        <f>COUNTIF('7-Reglas por maestro'!$A:$A,A17)</f>
        <v/>
      </c>
      <c r="I17" s="16">
        <f>COUNTIFS('7-Reglas por maestro'!$A:$A,A17,'7-Reglas por maestro'!$J:$J,"Validado")</f>
        <v/>
      </c>
      <c r="J17" s="16">
        <f>'1-Fichas de entidades'!O17</f>
        <v/>
      </c>
      <c r="K17" s="16">
        <f>COUNTIFS('2-Atributos'!$A:$A,A17,'2-Atributos'!$J:$J,"Revisión 15/09/2026")</f>
        <v/>
      </c>
    </row>
    <row r="18">
      <c r="A18" s="9">
        <f>'1-Fichas de entidades'!A18</f>
        <v/>
      </c>
      <c r="B18" s="9">
        <f>'1-Fichas de entidades'!B18</f>
        <v/>
      </c>
      <c r="C18" s="9">
        <f>'1-Fichas de entidades'!E18</f>
        <v/>
      </c>
      <c r="D18" s="9">
        <f>COUNTIF('2-Atributos'!$A:$A,A18)</f>
        <v/>
      </c>
      <c r="E18" s="9">
        <f>COUNTIFS('2-Atributos'!$A:$A,A18,'2-Atributos'!$J:$J,"★ Simulador")</f>
        <v/>
      </c>
      <c r="F18" s="9">
        <f>COUNTIFS('2-Atributos'!$A:$A,A18,'2-Atributos'!$M:$M,"Validado")</f>
        <v/>
      </c>
      <c r="G18" s="9">
        <f>COUNTIFS('2-Atributos'!$A:$A,A18,'2-Atributos'!$M:$M,"Con cambios")</f>
        <v/>
      </c>
      <c r="H18" s="9">
        <f>COUNTIF('7-Reglas por maestro'!$A:$A,A18)</f>
        <v/>
      </c>
      <c r="I18" s="9">
        <f>COUNTIFS('7-Reglas por maestro'!$A:$A,A18,'7-Reglas por maestro'!$J:$J,"Validado")</f>
        <v/>
      </c>
      <c r="J18" s="9">
        <f>'1-Fichas de entidades'!O18</f>
        <v/>
      </c>
      <c r="K18" s="9">
        <f>COUNTIFS('2-Atributos'!$A:$A,A18,'2-Atributos'!$J:$J,"Revisión 15/09/2026")</f>
        <v/>
      </c>
    </row>
    <row r="19">
      <c r="A19" s="16">
        <f>'1-Fichas de entidades'!A19</f>
        <v/>
      </c>
      <c r="B19" s="16">
        <f>'1-Fichas de entidades'!B19</f>
        <v/>
      </c>
      <c r="C19" s="16">
        <f>'1-Fichas de entidades'!E19</f>
        <v/>
      </c>
      <c r="D19" s="16">
        <f>COUNTIF('2-Atributos'!$A:$A,A19)</f>
        <v/>
      </c>
      <c r="E19" s="16">
        <f>COUNTIFS('2-Atributos'!$A:$A,A19,'2-Atributos'!$J:$J,"★ Simulador")</f>
        <v/>
      </c>
      <c r="F19" s="16">
        <f>COUNTIFS('2-Atributos'!$A:$A,A19,'2-Atributos'!$M:$M,"Validado")</f>
        <v/>
      </c>
      <c r="G19" s="16">
        <f>COUNTIFS('2-Atributos'!$A:$A,A19,'2-Atributos'!$M:$M,"Con cambios")</f>
        <v/>
      </c>
      <c r="H19" s="16">
        <f>COUNTIF('7-Reglas por maestro'!$A:$A,A19)</f>
        <v/>
      </c>
      <c r="I19" s="16">
        <f>COUNTIFS('7-Reglas por maestro'!$A:$A,A19,'7-Reglas por maestro'!$J:$J,"Validado")</f>
        <v/>
      </c>
      <c r="J19" s="16">
        <f>'1-Fichas de entidades'!O19</f>
        <v/>
      </c>
      <c r="K19" s="16">
        <f>COUNTIFS('2-Atributos'!$A:$A,A19,'2-Atributos'!$J:$J,"Revisión 15/09/2026")</f>
        <v/>
      </c>
    </row>
    <row r="20">
      <c r="A20" s="9">
        <f>'1-Fichas de entidades'!A20</f>
        <v/>
      </c>
      <c r="B20" s="9">
        <f>'1-Fichas de entidades'!B20</f>
        <v/>
      </c>
      <c r="C20" s="9">
        <f>'1-Fichas de entidades'!E20</f>
        <v/>
      </c>
      <c r="D20" s="9">
        <f>COUNTIF('2-Atributos'!$A:$A,A20)</f>
        <v/>
      </c>
      <c r="E20" s="9">
        <f>COUNTIFS('2-Atributos'!$A:$A,A20,'2-Atributos'!$J:$J,"★ Simulador")</f>
        <v/>
      </c>
      <c r="F20" s="9">
        <f>COUNTIFS('2-Atributos'!$A:$A,A20,'2-Atributos'!$M:$M,"Validado")</f>
        <v/>
      </c>
      <c r="G20" s="9">
        <f>COUNTIFS('2-Atributos'!$A:$A,A20,'2-Atributos'!$M:$M,"Con cambios")</f>
        <v/>
      </c>
      <c r="H20" s="9">
        <f>COUNTIF('7-Reglas por maestro'!$A:$A,A20)</f>
        <v/>
      </c>
      <c r="I20" s="9">
        <f>COUNTIFS('7-Reglas por maestro'!$A:$A,A20,'7-Reglas por maestro'!$J:$J,"Validado")</f>
        <v/>
      </c>
      <c r="J20" s="9">
        <f>'1-Fichas de entidades'!O20</f>
        <v/>
      </c>
      <c r="K20" s="9">
        <f>COUNTIFS('2-Atributos'!$A:$A,A20,'2-Atributos'!$J:$J,"Revisión 15/09/2026")</f>
        <v/>
      </c>
    </row>
    <row r="21">
      <c r="A21" s="16">
        <f>'1-Fichas de entidades'!A21</f>
        <v/>
      </c>
      <c r="B21" s="16">
        <f>'1-Fichas de entidades'!B21</f>
        <v/>
      </c>
      <c r="C21" s="16">
        <f>'1-Fichas de entidades'!E21</f>
        <v/>
      </c>
      <c r="D21" s="16">
        <f>COUNTIF('2-Atributos'!$A:$A,A21)</f>
        <v/>
      </c>
      <c r="E21" s="16">
        <f>COUNTIFS('2-Atributos'!$A:$A,A21,'2-Atributos'!$J:$J,"★ Simulador")</f>
        <v/>
      </c>
      <c r="F21" s="16">
        <f>COUNTIFS('2-Atributos'!$A:$A,A21,'2-Atributos'!$M:$M,"Validado")</f>
        <v/>
      </c>
      <c r="G21" s="16">
        <f>COUNTIFS('2-Atributos'!$A:$A,A21,'2-Atributos'!$M:$M,"Con cambios")</f>
        <v/>
      </c>
      <c r="H21" s="16">
        <f>COUNTIF('7-Reglas por maestro'!$A:$A,A21)</f>
        <v/>
      </c>
      <c r="I21" s="16">
        <f>COUNTIFS('7-Reglas por maestro'!$A:$A,A21,'7-Reglas por maestro'!$J:$J,"Validado")</f>
        <v/>
      </c>
      <c r="J21" s="16">
        <f>'1-Fichas de entidades'!O21</f>
        <v/>
      </c>
      <c r="K21" s="16">
        <f>COUNTIFS('2-Atributos'!$A:$A,A21,'2-Atributos'!$J:$J,"Revisión 15/09/2026")</f>
        <v/>
      </c>
    </row>
    <row r="22">
      <c r="A22" s="9">
        <f>'1-Fichas de entidades'!A22</f>
        <v/>
      </c>
      <c r="B22" s="9">
        <f>'1-Fichas de entidades'!B22</f>
        <v/>
      </c>
      <c r="C22" s="9">
        <f>'1-Fichas de entidades'!E22</f>
        <v/>
      </c>
      <c r="D22" s="9">
        <f>COUNTIF('2-Atributos'!$A:$A,A22)</f>
        <v/>
      </c>
      <c r="E22" s="9">
        <f>COUNTIFS('2-Atributos'!$A:$A,A22,'2-Atributos'!$J:$J,"★ Simulador")</f>
        <v/>
      </c>
      <c r="F22" s="9">
        <f>COUNTIFS('2-Atributos'!$A:$A,A22,'2-Atributos'!$M:$M,"Validado")</f>
        <v/>
      </c>
      <c r="G22" s="9">
        <f>COUNTIFS('2-Atributos'!$A:$A,A22,'2-Atributos'!$M:$M,"Con cambios")</f>
        <v/>
      </c>
      <c r="H22" s="9">
        <f>COUNTIF('7-Reglas por maestro'!$A:$A,A22)</f>
        <v/>
      </c>
      <c r="I22" s="9">
        <f>COUNTIFS('7-Reglas por maestro'!$A:$A,A22,'7-Reglas por maestro'!$J:$J,"Validado")</f>
        <v/>
      </c>
      <c r="J22" s="9">
        <f>'1-Fichas de entidades'!O22</f>
        <v/>
      </c>
      <c r="K22" s="9">
        <f>COUNTIFS('2-Atributos'!$A:$A,A22,'2-Atributos'!$J:$J,"Revisión 15/09/2026")</f>
        <v/>
      </c>
    </row>
    <row r="23">
      <c r="A23" s="16">
        <f>'1-Fichas de entidades'!A23</f>
        <v/>
      </c>
      <c r="B23" s="16">
        <f>'1-Fichas de entidades'!B23</f>
        <v/>
      </c>
      <c r="C23" s="16">
        <f>'1-Fichas de entidades'!E23</f>
        <v/>
      </c>
      <c r="D23" s="16">
        <f>COUNTIF('2-Atributos'!$A:$A,A23)</f>
        <v/>
      </c>
      <c r="E23" s="16">
        <f>COUNTIFS('2-Atributos'!$A:$A,A23,'2-Atributos'!$J:$J,"★ Simulador")</f>
        <v/>
      </c>
      <c r="F23" s="16">
        <f>COUNTIFS('2-Atributos'!$A:$A,A23,'2-Atributos'!$M:$M,"Validado")</f>
        <v/>
      </c>
      <c r="G23" s="16">
        <f>COUNTIFS('2-Atributos'!$A:$A,A23,'2-Atributos'!$M:$M,"Con cambios")</f>
        <v/>
      </c>
      <c r="H23" s="16">
        <f>COUNTIF('7-Reglas por maestro'!$A:$A,A23)</f>
        <v/>
      </c>
      <c r="I23" s="16">
        <f>COUNTIFS('7-Reglas por maestro'!$A:$A,A23,'7-Reglas por maestro'!$J:$J,"Validado")</f>
        <v/>
      </c>
      <c r="J23" s="16">
        <f>'1-Fichas de entidades'!O23</f>
        <v/>
      </c>
      <c r="K23" s="16">
        <f>COUNTIFS('2-Atributos'!$A:$A,A23,'2-Atributos'!$J:$J,"Revisión 15/09/2026")</f>
        <v/>
      </c>
    </row>
    <row r="24">
      <c r="A24" s="9">
        <f>'1-Fichas de entidades'!A24</f>
        <v/>
      </c>
      <c r="B24" s="9">
        <f>'1-Fichas de entidades'!B24</f>
        <v/>
      </c>
      <c r="C24" s="9">
        <f>'1-Fichas de entidades'!E24</f>
        <v/>
      </c>
      <c r="D24" s="9">
        <f>COUNTIF('2-Atributos'!$A:$A,A24)</f>
        <v/>
      </c>
      <c r="E24" s="9">
        <f>COUNTIFS('2-Atributos'!$A:$A,A24,'2-Atributos'!$J:$J,"★ Simulador")</f>
        <v/>
      </c>
      <c r="F24" s="9">
        <f>COUNTIFS('2-Atributos'!$A:$A,A24,'2-Atributos'!$M:$M,"Validado")</f>
        <v/>
      </c>
      <c r="G24" s="9">
        <f>COUNTIFS('2-Atributos'!$A:$A,A24,'2-Atributos'!$M:$M,"Con cambios")</f>
        <v/>
      </c>
      <c r="H24" s="9">
        <f>COUNTIF('7-Reglas por maestro'!$A:$A,A24)</f>
        <v/>
      </c>
      <c r="I24" s="9">
        <f>COUNTIFS('7-Reglas por maestro'!$A:$A,A24,'7-Reglas por maestro'!$J:$J,"Validado")</f>
        <v/>
      </c>
      <c r="J24" s="9">
        <f>'1-Fichas de entidades'!O24</f>
        <v/>
      </c>
      <c r="K24" s="9">
        <f>COUNTIFS('2-Atributos'!$A:$A,A24,'2-Atributos'!$J:$J,"Revisión 15/09/2026")</f>
        <v/>
      </c>
    </row>
    <row r="25">
      <c r="A25" s="16">
        <f>'1-Fichas de entidades'!A25</f>
        <v/>
      </c>
      <c r="B25" s="16">
        <f>'1-Fichas de entidades'!B25</f>
        <v/>
      </c>
      <c r="C25" s="16">
        <f>'1-Fichas de entidades'!E25</f>
        <v/>
      </c>
      <c r="D25" s="16">
        <f>COUNTIF('2-Atributos'!$A:$A,A25)</f>
        <v/>
      </c>
      <c r="E25" s="16">
        <f>COUNTIFS('2-Atributos'!$A:$A,A25,'2-Atributos'!$J:$J,"★ Simulador")</f>
        <v/>
      </c>
      <c r="F25" s="16">
        <f>COUNTIFS('2-Atributos'!$A:$A,A25,'2-Atributos'!$M:$M,"Validado")</f>
        <v/>
      </c>
      <c r="G25" s="16">
        <f>COUNTIFS('2-Atributos'!$A:$A,A25,'2-Atributos'!$M:$M,"Con cambios")</f>
        <v/>
      </c>
      <c r="H25" s="16">
        <f>COUNTIF('7-Reglas por maestro'!$A:$A,A25)</f>
        <v/>
      </c>
      <c r="I25" s="16">
        <f>COUNTIFS('7-Reglas por maestro'!$A:$A,A25,'7-Reglas por maestro'!$J:$J,"Validado")</f>
        <v/>
      </c>
      <c r="J25" s="16">
        <f>'1-Fichas de entidades'!O25</f>
        <v/>
      </c>
      <c r="K25" s="16">
        <f>COUNTIFS('2-Atributos'!$A:$A,A25,'2-Atributos'!$J:$J,"Revisión 15/09/2026")</f>
        <v/>
      </c>
    </row>
    <row r="26">
      <c r="A26" s="9">
        <f>'1-Fichas de entidades'!A26</f>
        <v/>
      </c>
      <c r="B26" s="9">
        <f>'1-Fichas de entidades'!B26</f>
        <v/>
      </c>
      <c r="C26" s="9">
        <f>'1-Fichas de entidades'!E26</f>
        <v/>
      </c>
      <c r="D26" s="9">
        <f>COUNTIF('2-Atributos'!$A:$A,A26)</f>
        <v/>
      </c>
      <c r="E26" s="9">
        <f>COUNTIFS('2-Atributos'!$A:$A,A26,'2-Atributos'!$J:$J,"★ Simulador")</f>
        <v/>
      </c>
      <c r="F26" s="9">
        <f>COUNTIFS('2-Atributos'!$A:$A,A26,'2-Atributos'!$M:$M,"Validado")</f>
        <v/>
      </c>
      <c r="G26" s="9">
        <f>COUNTIFS('2-Atributos'!$A:$A,A26,'2-Atributos'!$M:$M,"Con cambios")</f>
        <v/>
      </c>
      <c r="H26" s="9">
        <f>COUNTIF('7-Reglas por maestro'!$A:$A,A26)</f>
        <v/>
      </c>
      <c r="I26" s="9">
        <f>COUNTIFS('7-Reglas por maestro'!$A:$A,A26,'7-Reglas por maestro'!$J:$J,"Validado")</f>
        <v/>
      </c>
      <c r="J26" s="9">
        <f>'1-Fichas de entidades'!O26</f>
        <v/>
      </c>
      <c r="K26" s="9">
        <f>COUNTIFS('2-Atributos'!$A:$A,A26,'2-Atributos'!$J:$J,"Revisión 15/09/2026")</f>
        <v/>
      </c>
    </row>
    <row r="27">
      <c r="A27" s="16">
        <f>'1-Fichas de entidades'!A27</f>
        <v/>
      </c>
      <c r="B27" s="16">
        <f>'1-Fichas de entidades'!B27</f>
        <v/>
      </c>
      <c r="C27" s="16">
        <f>'1-Fichas de entidades'!E27</f>
        <v/>
      </c>
      <c r="D27" s="16">
        <f>COUNTIF('2-Atributos'!$A:$A,A27)</f>
        <v/>
      </c>
      <c r="E27" s="16">
        <f>COUNTIFS('2-Atributos'!$A:$A,A27,'2-Atributos'!$J:$J,"★ Simulador")</f>
        <v/>
      </c>
      <c r="F27" s="16">
        <f>COUNTIFS('2-Atributos'!$A:$A,A27,'2-Atributos'!$M:$M,"Validado")</f>
        <v/>
      </c>
      <c r="G27" s="16">
        <f>COUNTIFS('2-Atributos'!$A:$A,A27,'2-Atributos'!$M:$M,"Con cambios")</f>
        <v/>
      </c>
      <c r="H27" s="16">
        <f>COUNTIF('7-Reglas por maestro'!$A:$A,A27)</f>
        <v/>
      </c>
      <c r="I27" s="16">
        <f>COUNTIFS('7-Reglas por maestro'!$A:$A,A27,'7-Reglas por maestro'!$J:$J,"Validado")</f>
        <v/>
      </c>
      <c r="J27" s="16">
        <f>'1-Fichas de entidades'!O27</f>
        <v/>
      </c>
      <c r="K27" s="16">
        <f>COUNTIFS('2-Atributos'!$A:$A,A27,'2-Atributos'!$J:$J,"Revisión 15/09/2026")</f>
        <v/>
      </c>
    </row>
    <row r="28">
      <c r="A28" s="9">
        <f>'1-Fichas de entidades'!A28</f>
        <v/>
      </c>
      <c r="B28" s="9">
        <f>'1-Fichas de entidades'!B28</f>
        <v/>
      </c>
      <c r="C28" s="9">
        <f>'1-Fichas de entidades'!E28</f>
        <v/>
      </c>
      <c r="D28" s="9">
        <f>COUNTIF('2-Atributos'!$A:$A,A28)</f>
        <v/>
      </c>
      <c r="E28" s="9">
        <f>COUNTIFS('2-Atributos'!$A:$A,A28,'2-Atributos'!$J:$J,"★ Simulador")</f>
        <v/>
      </c>
      <c r="F28" s="9">
        <f>COUNTIFS('2-Atributos'!$A:$A,A28,'2-Atributos'!$M:$M,"Validado")</f>
        <v/>
      </c>
      <c r="G28" s="9">
        <f>COUNTIFS('2-Atributos'!$A:$A,A28,'2-Atributos'!$M:$M,"Con cambios")</f>
        <v/>
      </c>
      <c r="H28" s="9">
        <f>COUNTIF('7-Reglas por maestro'!$A:$A,A28)</f>
        <v/>
      </c>
      <c r="I28" s="9">
        <f>COUNTIFS('7-Reglas por maestro'!$A:$A,A28,'7-Reglas por maestro'!$J:$J,"Validado")</f>
        <v/>
      </c>
      <c r="J28" s="9">
        <f>'1-Fichas de entidades'!O28</f>
        <v/>
      </c>
      <c r="K28" s="9">
        <f>COUNTIFS('2-Atributos'!$A:$A,A28,'2-Atributos'!$J:$J,"Revisión 15/09/2026")</f>
        <v/>
      </c>
    </row>
    <row r="29">
      <c r="A29" s="16">
        <f>'1-Fichas de entidades'!A29</f>
        <v/>
      </c>
      <c r="B29" s="16">
        <f>'1-Fichas de entidades'!B29</f>
        <v/>
      </c>
      <c r="C29" s="16">
        <f>'1-Fichas de entidades'!E29</f>
        <v/>
      </c>
      <c r="D29" s="16">
        <f>COUNTIF('2-Atributos'!$A:$A,A29)</f>
        <v/>
      </c>
      <c r="E29" s="16">
        <f>COUNTIFS('2-Atributos'!$A:$A,A29,'2-Atributos'!$J:$J,"★ Simulador")</f>
        <v/>
      </c>
      <c r="F29" s="16">
        <f>COUNTIFS('2-Atributos'!$A:$A,A29,'2-Atributos'!$M:$M,"Validado")</f>
        <v/>
      </c>
      <c r="G29" s="16">
        <f>COUNTIFS('2-Atributos'!$A:$A,A29,'2-Atributos'!$M:$M,"Con cambios")</f>
        <v/>
      </c>
      <c r="H29" s="16">
        <f>COUNTIF('7-Reglas por maestro'!$A:$A,A29)</f>
        <v/>
      </c>
      <c r="I29" s="16">
        <f>COUNTIFS('7-Reglas por maestro'!$A:$A,A29,'7-Reglas por maestro'!$J:$J,"Validado")</f>
        <v/>
      </c>
      <c r="J29" s="16">
        <f>'1-Fichas de entidades'!O29</f>
        <v/>
      </c>
      <c r="K29" s="16">
        <f>COUNTIFS('2-Atributos'!$A:$A,A29,'2-Atributos'!$J:$J,"Revisión 15/09/2026")</f>
        <v/>
      </c>
    </row>
    <row r="30">
      <c r="A30" s="9">
        <f>'1-Fichas de entidades'!A30</f>
        <v/>
      </c>
      <c r="B30" s="9">
        <f>'1-Fichas de entidades'!B30</f>
        <v/>
      </c>
      <c r="C30" s="9">
        <f>'1-Fichas de entidades'!E30</f>
        <v/>
      </c>
      <c r="D30" s="9">
        <f>COUNTIF('2-Atributos'!$A:$A,A30)</f>
        <v/>
      </c>
      <c r="E30" s="9">
        <f>COUNTIFS('2-Atributos'!$A:$A,A30,'2-Atributos'!$J:$J,"★ Simulador")</f>
        <v/>
      </c>
      <c r="F30" s="9">
        <f>COUNTIFS('2-Atributos'!$A:$A,A30,'2-Atributos'!$M:$M,"Validado")</f>
        <v/>
      </c>
      <c r="G30" s="9">
        <f>COUNTIFS('2-Atributos'!$A:$A,A30,'2-Atributos'!$M:$M,"Con cambios")</f>
        <v/>
      </c>
      <c r="H30" s="9">
        <f>COUNTIF('7-Reglas por maestro'!$A:$A,A30)</f>
        <v/>
      </c>
      <c r="I30" s="9">
        <f>COUNTIFS('7-Reglas por maestro'!$A:$A,A30,'7-Reglas por maestro'!$J:$J,"Validado")</f>
        <v/>
      </c>
      <c r="J30" s="9">
        <f>'1-Fichas de entidades'!O30</f>
        <v/>
      </c>
      <c r="K30" s="9">
        <f>COUNTIFS('2-Atributos'!$A:$A,A30,'2-Atributos'!$J:$J,"Revisión 15/09/2026")</f>
        <v/>
      </c>
    </row>
    <row r="31">
      <c r="A31" s="16">
        <f>'1-Fichas de entidades'!A31</f>
        <v/>
      </c>
      <c r="B31" s="16">
        <f>'1-Fichas de entidades'!B31</f>
        <v/>
      </c>
      <c r="C31" s="16">
        <f>'1-Fichas de entidades'!E31</f>
        <v/>
      </c>
      <c r="D31" s="16">
        <f>COUNTIF('2-Atributos'!$A:$A,A31)</f>
        <v/>
      </c>
      <c r="E31" s="16">
        <f>COUNTIFS('2-Atributos'!$A:$A,A31,'2-Atributos'!$J:$J,"★ Simulador")</f>
        <v/>
      </c>
      <c r="F31" s="16">
        <f>COUNTIFS('2-Atributos'!$A:$A,A31,'2-Atributos'!$M:$M,"Validado")</f>
        <v/>
      </c>
      <c r="G31" s="16">
        <f>COUNTIFS('2-Atributos'!$A:$A,A31,'2-Atributos'!$M:$M,"Con cambios")</f>
        <v/>
      </c>
      <c r="H31" s="16">
        <f>COUNTIF('7-Reglas por maestro'!$A:$A,A31)</f>
        <v/>
      </c>
      <c r="I31" s="16">
        <f>COUNTIFS('7-Reglas por maestro'!$A:$A,A31,'7-Reglas por maestro'!$J:$J,"Validado")</f>
        <v/>
      </c>
      <c r="J31" s="16">
        <f>'1-Fichas de entidades'!O31</f>
        <v/>
      </c>
      <c r="K31" s="16">
        <f>COUNTIFS('2-Atributos'!$A:$A,A31,'2-Atributos'!$J:$J,"Revisión 15/09/2026")</f>
        <v/>
      </c>
    </row>
    <row r="32">
      <c r="A32" s="9">
        <f>'1-Fichas de entidades'!A32</f>
        <v/>
      </c>
      <c r="B32" s="9">
        <f>'1-Fichas de entidades'!B32</f>
        <v/>
      </c>
      <c r="C32" s="9">
        <f>'1-Fichas de entidades'!E32</f>
        <v/>
      </c>
      <c r="D32" s="9">
        <f>COUNTIF('2-Atributos'!$A:$A,A32)</f>
        <v/>
      </c>
      <c r="E32" s="9">
        <f>COUNTIFS('2-Atributos'!$A:$A,A32,'2-Atributos'!$J:$J,"★ Simulador")</f>
        <v/>
      </c>
      <c r="F32" s="9">
        <f>COUNTIFS('2-Atributos'!$A:$A,A32,'2-Atributos'!$M:$M,"Validado")</f>
        <v/>
      </c>
      <c r="G32" s="9">
        <f>COUNTIFS('2-Atributos'!$A:$A,A32,'2-Atributos'!$M:$M,"Con cambios")</f>
        <v/>
      </c>
      <c r="H32" s="9">
        <f>COUNTIF('7-Reglas por maestro'!$A:$A,A32)</f>
        <v/>
      </c>
      <c r="I32" s="9">
        <f>COUNTIFS('7-Reglas por maestro'!$A:$A,A32,'7-Reglas por maestro'!$J:$J,"Validado")</f>
        <v/>
      </c>
      <c r="J32" s="9">
        <f>'1-Fichas de entidades'!O32</f>
        <v/>
      </c>
      <c r="K32" s="9">
        <f>COUNTIFS('2-Atributos'!$A:$A,A32,'2-Atributos'!$J:$J,"Revisión 15/09/2026")</f>
        <v/>
      </c>
    </row>
    <row r="33">
      <c r="A33" s="9">
        <f>'1-Fichas de entidades'!A33</f>
        <v/>
      </c>
      <c r="B33" s="9">
        <f>'1-Fichas de entidades'!B33</f>
        <v/>
      </c>
      <c r="C33" s="9">
        <f>'1-Fichas de entidades'!E33</f>
        <v/>
      </c>
      <c r="D33" s="9">
        <f>COUNTIF('2-Atributos'!$A:$A,A33)</f>
        <v/>
      </c>
      <c r="E33" s="9">
        <f>COUNTIFS('2-Atributos'!$A:$A,A33,'2-Atributos'!$J:$J,"★ Simulador")</f>
        <v/>
      </c>
      <c r="F33" s="9">
        <f>COUNTIFS('2-Atributos'!$A:$A,A33,'2-Atributos'!$M:$M,"Validado")</f>
        <v/>
      </c>
      <c r="G33" s="9">
        <f>COUNTIFS('2-Atributos'!$A:$A,A33,'2-Atributos'!$M:$M,"Con cambios")</f>
        <v/>
      </c>
      <c r="H33" s="9">
        <f>COUNTIF('7-Reglas por maestro'!$A:$A,A33)</f>
        <v/>
      </c>
      <c r="I33" s="9">
        <f>COUNTIFS('7-Reglas por maestro'!$A:$A,A33,'7-Reglas por maestro'!$J:$J,"Validado")</f>
        <v/>
      </c>
      <c r="J33" s="9">
        <f>'1-Fichas de entidades'!O33</f>
        <v/>
      </c>
      <c r="K33" s="9">
        <f>COUNTIFS('2-Atributos'!$A:$A,A33,'2-Atributos'!$J:$J,"Revisión 15/09/2026")</f>
        <v/>
      </c>
    </row>
    <row r="34">
      <c r="A34" s="9">
        <f>'1-Fichas de entidades'!A34</f>
        <v/>
      </c>
      <c r="B34" s="9">
        <f>'1-Fichas de entidades'!B34</f>
        <v/>
      </c>
      <c r="C34" s="9">
        <f>'1-Fichas de entidades'!E34</f>
        <v/>
      </c>
      <c r="D34" s="9">
        <f>COUNTIF('2-Atributos'!$A:$A,A34)</f>
        <v/>
      </c>
      <c r="E34" s="9">
        <f>COUNTIFS('2-Atributos'!$A:$A,A34,'2-Atributos'!$J:$J,"★ Simulador")</f>
        <v/>
      </c>
      <c r="F34" s="9">
        <f>COUNTIFS('2-Atributos'!$A:$A,A34,'2-Atributos'!$M:$M,"Validado")</f>
        <v/>
      </c>
      <c r="G34" s="9">
        <f>COUNTIFS('2-Atributos'!$A:$A,A34,'2-Atributos'!$M:$M,"Con cambios")</f>
        <v/>
      </c>
      <c r="H34" s="9">
        <f>COUNTIF('7-Reglas por maestro'!$A:$A,A34)</f>
        <v/>
      </c>
      <c r="I34" s="9">
        <f>COUNTIFS('7-Reglas por maestro'!$A:$A,A34,'7-Reglas por maestro'!$J:$J,"Validado")</f>
        <v/>
      </c>
      <c r="J34" s="9">
        <f>'1-Fichas de entidades'!O34</f>
        <v/>
      </c>
      <c r="K34" s="9">
        <f>COUNTIFS('2-Atributos'!$A:$A,A34,'2-Atributos'!$J:$J,"Revisión 15/09/2026")</f>
        <v/>
      </c>
    </row>
    <row r="35">
      <c r="A35" s="9">
        <f>'1-Fichas de entidades'!A35</f>
        <v/>
      </c>
      <c r="B35" s="9">
        <f>'1-Fichas de entidades'!B35</f>
        <v/>
      </c>
      <c r="C35" s="9">
        <f>'1-Fichas de entidades'!E35</f>
        <v/>
      </c>
      <c r="D35" s="9">
        <f>COUNTIF('2-Atributos'!$A:$A,A35)</f>
        <v/>
      </c>
      <c r="E35" s="9">
        <f>COUNTIFS('2-Atributos'!$A:$A,A35,'2-Atributos'!$J:$J,"★ Simulador")</f>
        <v/>
      </c>
      <c r="F35" s="9">
        <f>COUNTIFS('2-Atributos'!$A:$A,A35,'2-Atributos'!$M:$M,"Validado")</f>
        <v/>
      </c>
      <c r="G35" s="9">
        <f>COUNTIFS('2-Atributos'!$A:$A,A35,'2-Atributos'!$M:$M,"Con cambios")</f>
        <v/>
      </c>
      <c r="H35" s="9">
        <f>COUNTIF('7-Reglas por maestro'!$A:$A,A35)</f>
        <v/>
      </c>
      <c r="I35" s="9">
        <f>COUNTIFS('7-Reglas por maestro'!$A:$A,A35,'7-Reglas por maestro'!$J:$J,"Validado")</f>
        <v/>
      </c>
      <c r="J35" s="9">
        <f>'1-Fichas de entidades'!O35</f>
        <v/>
      </c>
      <c r="K35" s="9">
        <f>COUNTIFS('2-Atributos'!$A:$A,A35,'2-Atributos'!$J:$J,"Revisión 15/09/2026")</f>
        <v/>
      </c>
    </row>
    <row r="36">
      <c r="A36" s="9">
        <f>'1-Fichas de entidades'!A36</f>
        <v/>
      </c>
      <c r="B36" s="9">
        <f>'1-Fichas de entidades'!B36</f>
        <v/>
      </c>
      <c r="C36" s="9">
        <f>'1-Fichas de entidades'!E36</f>
        <v/>
      </c>
      <c r="D36" s="9">
        <f>COUNTIF('2-Atributos'!$A:$A,A36)</f>
        <v/>
      </c>
      <c r="E36" s="9">
        <f>COUNTIFS('2-Atributos'!$A:$A,A36,'2-Atributos'!$J:$J,"★ Simulador")</f>
        <v/>
      </c>
      <c r="F36" s="9">
        <f>COUNTIFS('2-Atributos'!$A:$A,A36,'2-Atributos'!$M:$M,"Validado")</f>
        <v/>
      </c>
      <c r="G36" s="9">
        <f>COUNTIFS('2-Atributos'!$A:$A,A36,'2-Atributos'!$M:$M,"Con cambios")</f>
        <v/>
      </c>
      <c r="H36" s="9">
        <f>COUNTIF('7-Reglas por maestro'!$A:$A,A36)</f>
        <v/>
      </c>
      <c r="I36" s="9">
        <f>COUNTIFS('7-Reglas por maestro'!$A:$A,A36,'7-Reglas por maestro'!$J:$J,"Validado")</f>
        <v/>
      </c>
      <c r="J36" s="9">
        <f>'1-Fichas de entidades'!O36</f>
        <v/>
      </c>
      <c r="K36" s="9">
        <f>COUNTIFS('2-Atributos'!$A:$A,A36,'2-Atributos'!$J:$J,"Revisión 15/09/2026")</f>
        <v/>
      </c>
    </row>
    <row r="37">
      <c r="A37" s="23" t="inlineStr">
        <is>
          <t>Total</t>
        </is>
      </c>
      <c r="D37" s="24">
        <f>SUM(D2:D36)</f>
        <v/>
      </c>
      <c r="E37" s="24">
        <f>SUM(E2:E36)</f>
        <v/>
      </c>
      <c r="F37" s="24">
        <f>SUM(F2:F36)</f>
        <v/>
      </c>
      <c r="G37" s="24">
        <f>SUM(G2:G36)</f>
        <v/>
      </c>
      <c r="H37" s="24">
        <f>SUM(H2:H36)</f>
        <v/>
      </c>
      <c r="I37" s="24">
        <f>SUM(I2:I36)</f>
        <v/>
      </c>
      <c r="K37" s="24">
        <f>SUM(K2:K36)</f>
        <v/>
      </c>
    </row>
    <row r="38"/>
    <row r="39">
      <c r="A39" s="2" t="inlineStr">
        <is>
          <t>Nota: "Reglas definidas" cuenta filas de la hoja 7 cuyo maestro coincide exactamente con el código; las reglas compartidas (ej. "M-09 · M-10 · M-10a" o "Todos") no se atribuyen a un maestro.</t>
        </is>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A6A6A6"/>
    <outlinePr summaryBelow="1" summaryRight="1"/>
    <pageSetUpPr/>
  </sheetPr>
  <dimension ref="A1:F49"/>
  <sheetViews>
    <sheetView zoomScaleNormal="100" workbookViewId="0">
      <pane ySplit="4" topLeftCell="A5" activePane="bottomLeft" state="frozen"/>
      <selection pane="bottomLeft" activeCell="A1" sqref="A1"/>
    </sheetView>
  </sheetViews>
  <sheetFormatPr baseColWidth="10" defaultColWidth="8.6328125" defaultRowHeight="14.5"/>
  <cols>
    <col width="11" customWidth="1" min="1" max="1"/>
    <col width="30" customWidth="1" min="2" max="2"/>
    <col width="9" customWidth="1" min="3" max="3"/>
    <col width="16" customWidth="1" min="4" max="4"/>
    <col width="32" customWidth="1" min="5" max="5"/>
    <col width="90" customWidth="1" min="6" max="6"/>
  </cols>
  <sheetData>
    <row r="1" ht="18" customHeight="1">
      <c r="A1" s="1" t="inlineStr">
        <is>
          <t>Cruce: maestros del Excel v2.2 (MD-00..MD-37) → maestros del modelo (M-01..M-30)</t>
        </is>
      </c>
    </row>
    <row r="2" ht="30" customHeight="1">
      <c r="A2" s="34" t="inlineStr">
        <is>
          <t>Lectura: cada maestro del Excel anterior alimenta a un maestro del modelo (o se absorbe como atributo / regla). Ámbar = fusión; gris = deja de ser maestro.</t>
        </is>
      </c>
    </row>
    <row r="3"/>
    <row r="4" ht="30" customHeight="1">
      <c r="A4" s="7" t="inlineStr">
        <is>
          <t>Código v2.2</t>
        </is>
      </c>
      <c r="B4" s="7" t="inlineStr">
        <is>
          <t>Maestro v2.2</t>
        </is>
      </c>
      <c r="C4" s="7" t="inlineStr">
        <is>
          <t>Nivel v2.2</t>
        </is>
      </c>
      <c r="D4" s="7" t="inlineStr">
        <is>
          <t>→ Maestro del modelo</t>
        </is>
      </c>
      <c r="E4" s="7" t="inlineStr">
        <is>
          <t>Nombre en el modelo</t>
        </is>
      </c>
      <c r="F4" s="7" t="inlineStr">
        <is>
          <t>Qué pasó</t>
        </is>
      </c>
    </row>
    <row r="5" ht="25" customHeight="1">
      <c r="A5" s="8" t="inlineStr">
        <is>
          <t>MD-00</t>
        </is>
      </c>
      <c r="B5" s="9" t="inlineStr">
        <is>
          <t>LineUp portuario</t>
        </is>
      </c>
      <c r="C5" s="9" t="n">
        <v>1</v>
      </c>
      <c r="D5" s="8" t="inlineStr">
        <is>
          <t>M-17</t>
        </is>
      </c>
      <c r="E5" s="9" t="inlineStr">
        <is>
          <t>LineUp</t>
        </is>
      </c>
      <c r="F5" s="9" t="inlineStr">
        <is>
          <t>Coincide; eta / etb / etc pasan a 3 atributos; puerto_terminal → puerto; operacion → tipo_operacion; estado_lineup → estado.</t>
        </is>
      </c>
    </row>
    <row r="6">
      <c r="A6" s="15" t="inlineStr">
        <is>
          <t>MD-01</t>
        </is>
      </c>
      <c r="B6" s="16" t="inlineStr">
        <is>
          <t>Sociedad</t>
        </is>
      </c>
      <c r="C6" s="16" t="n">
        <v>0</v>
      </c>
      <c r="D6" s="15" t="inlineStr">
        <is>
          <t>M-01</t>
        </is>
      </c>
      <c r="E6" s="16" t="inlineStr">
        <is>
          <t>Unidad de negocio</t>
        </is>
      </c>
      <c r="F6" s="16" t="inlineStr">
        <is>
          <t>Coincide (atributos según el modelo).</t>
        </is>
      </c>
    </row>
    <row r="7" ht="25" customHeight="1">
      <c r="A7" s="8" t="inlineStr">
        <is>
          <t>MD-02</t>
        </is>
      </c>
      <c r="B7" s="9" t="inlineStr">
        <is>
          <t>Planta y sitio</t>
        </is>
      </c>
      <c r="C7" s="9" t="n">
        <v>1</v>
      </c>
      <c r="D7" s="8" t="inlineStr">
        <is>
          <t>M-09</t>
        </is>
      </c>
      <c r="E7" s="9" t="inlineStr">
        <is>
          <t>Plantas</t>
        </is>
      </c>
      <c r="F7" s="9" t="inlineStr">
        <is>
          <t>Coincide; agrega localidad, CP, fecha de habilitación / vencimiento; costos de flete y almacenaje de referencia ★.</t>
        </is>
      </c>
    </row>
    <row r="8">
      <c r="A8" s="15" t="inlineStr">
        <is>
          <t>MD-03</t>
        </is>
      </c>
      <c r="B8" s="16" t="inlineStr">
        <is>
          <t>Calendario y turno</t>
        </is>
      </c>
      <c r="C8" s="16" t="n">
        <v>1</v>
      </c>
      <c r="D8" s="15" t="inlineStr">
        <is>
          <t>M-19</t>
        </is>
      </c>
      <c r="E8" s="16" t="inlineStr">
        <is>
          <t>Calendario y turnos</t>
        </is>
      </c>
      <c r="F8" s="16" t="inlineStr">
        <is>
          <t>Coincide; hora_desde_hasta → hora_desde · hora_hasta.</t>
        </is>
      </c>
    </row>
    <row r="9">
      <c r="A9" s="13" t="inlineStr">
        <is>
          <t>MD-04</t>
        </is>
      </c>
      <c r="B9" s="14" t="inlineStr">
        <is>
          <t>Cliente</t>
        </is>
      </c>
      <c r="C9" s="14" t="n">
        <v>1</v>
      </c>
      <c r="D9" s="13" t="inlineStr">
        <is>
          <t>M-06</t>
        </is>
      </c>
      <c r="E9" s="14" t="inlineStr">
        <is>
          <t>Clientes / Proveedores</t>
        </is>
      </c>
      <c r="F9" s="14" t="inlineStr">
        <is>
          <t>Se fusiona con MD-05 y MD-21 en M-06 (tipo cliente).</t>
        </is>
      </c>
    </row>
    <row r="10">
      <c r="A10" s="13" t="inlineStr">
        <is>
          <t>MD-05</t>
        </is>
      </c>
      <c r="B10" s="14" t="inlineStr">
        <is>
          <t>Proveedor</t>
        </is>
      </c>
      <c r="C10" s="14" t="n">
        <v>0</v>
      </c>
      <c r="D10" s="13" t="inlineStr">
        <is>
          <t>M-06</t>
        </is>
      </c>
      <c r="E10" s="14" t="inlineStr">
        <is>
          <t>Clientes / Proveedores</t>
        </is>
      </c>
      <c r="F10" s="14" t="inlineStr">
        <is>
          <t>Se fusiona en M-06 (tipo proveedor, rubro estiba / rental / repuestos / laboratorio / personal eventual).</t>
        </is>
      </c>
    </row>
    <row r="11">
      <c r="A11" s="13" t="inlineStr">
        <is>
          <t>MD-06</t>
        </is>
      </c>
      <c r="B11" s="14" t="inlineStr">
        <is>
          <t>Agencia marítima y armador</t>
        </is>
      </c>
      <c r="C11" s="14" t="n">
        <v>0</v>
      </c>
      <c r="D11" s="13" t="inlineStr">
        <is>
          <t>M-21</t>
        </is>
      </c>
      <c r="E11" s="14" t="inlineStr">
        <is>
          <t>Agencia marítima / Armador</t>
        </is>
      </c>
      <c r="F11" s="14" t="inlineStr">
        <is>
          <t>Coincide (atributos según el modelo).</t>
        </is>
      </c>
    </row>
    <row r="12">
      <c r="A12" s="15" t="inlineStr">
        <is>
          <t>MD-07</t>
        </is>
      </c>
      <c r="B12" s="16" t="inlineStr">
        <is>
          <t>Sindicato y empresa de estiba</t>
        </is>
      </c>
      <c r="C12" s="16" t="n">
        <v>1</v>
      </c>
      <c r="D12" s="15" t="inlineStr">
        <is>
          <t>M-13</t>
        </is>
      </c>
      <c r="E12" s="16" t="inlineStr">
        <is>
          <t>Personal contratado</t>
        </is>
      </c>
      <c r="F12" s="16" t="inlineStr">
        <is>
          <t>Coincide (atributos según el modelo).</t>
        </is>
      </c>
    </row>
    <row r="13">
      <c r="A13" s="8" t="inlineStr">
        <is>
          <t>MD-08</t>
        </is>
      </c>
      <c r="B13" s="9" t="inlineStr">
        <is>
          <t>Despachante de aduana</t>
        </is>
      </c>
      <c r="C13" s="9" t="n">
        <v>1</v>
      </c>
      <c r="D13" s="8" t="inlineStr">
        <is>
          <t>M-22</t>
        </is>
      </c>
      <c r="E13" s="9" t="inlineStr">
        <is>
          <t>Despachante de aduana</t>
        </is>
      </c>
      <c r="F13" s="9" t="inlineStr">
        <is>
          <t>Coincide (atributos según el modelo).</t>
        </is>
      </c>
    </row>
    <row r="14" ht="25" customHeight="1">
      <c r="A14" s="13" t="inlineStr">
        <is>
          <t>MD-09</t>
        </is>
      </c>
      <c r="B14" s="14" t="inlineStr">
        <is>
          <t>Servicio</t>
        </is>
      </c>
      <c r="C14" s="14" t="n">
        <v>0</v>
      </c>
      <c r="D14" s="13" t="inlineStr">
        <is>
          <t>M-14</t>
        </is>
      </c>
      <c r="E14" s="14" t="inlineStr">
        <is>
          <t>Tipos de servicios</t>
        </is>
      </c>
      <c r="F14" s="14" t="inlineStr">
        <is>
          <t>Servicio facturable → M-14 Tipos de servicio como registros (simples DESC · TRA · ALM y combinados) con componentes, origen, recursos y controles.</t>
        </is>
      </c>
    </row>
    <row r="15" ht="25" customHeight="1">
      <c r="A15" s="8" t="inlineStr">
        <is>
          <t>MD-10</t>
        </is>
      </c>
      <c r="B15" s="9" t="inlineStr">
        <is>
          <t>Tarifa</t>
        </is>
      </c>
      <c r="C15" s="9" t="n">
        <v>2</v>
      </c>
      <c r="D15" s="8" t="inlineStr">
        <is>
          <t>M-15</t>
        </is>
      </c>
      <c r="E15" s="9" t="inlineStr">
        <is>
          <t>Tarifas</t>
        </is>
      </c>
      <c r="F15" s="9" t="inlineStr">
        <is>
          <t>Coincide; servicio → tipo_servicio (Ref. M-14); producto_o_familia → producto; alcance → cliente vacío = general.</t>
        </is>
      </c>
    </row>
    <row r="16">
      <c r="A16" s="15" t="inlineStr">
        <is>
          <t>MD-11</t>
        </is>
      </c>
      <c r="B16" s="16" t="inlineStr">
        <is>
          <t>Contrato</t>
        </is>
      </c>
      <c r="C16" s="16" t="n">
        <v>2</v>
      </c>
      <c r="D16" s="15" t="inlineStr">
        <is>
          <t>M-16</t>
        </is>
      </c>
      <c r="E16" s="16" t="inlineStr">
        <is>
          <t>Contratos</t>
        </is>
      </c>
      <c r="F16" s="16" t="inlineStr">
        <is>
          <t>Coincide; vigencia en dos atributos (desde / hasta); alcance_por_defecto → servicios_incluidos (Ref. M-14).</t>
        </is>
      </c>
    </row>
    <row r="17" ht="25" customHeight="1">
      <c r="A17" s="25" t="inlineStr">
        <is>
          <t>MD-12</t>
        </is>
      </c>
      <c r="B17" s="26" t="inlineStr">
        <is>
          <t>Modalidad de operación</t>
        </is>
      </c>
      <c r="C17" s="26" t="n">
        <v>0</v>
      </c>
      <c r="D17" s="25" t="inlineStr">
        <is>
          <t>—</t>
        </is>
      </c>
      <c r="E17" s="26" t="inlineStr">
        <is>
          <t>—</t>
        </is>
      </c>
      <c r="F17" s="26" t="inlineStr">
        <is>
          <t>Deja de ser maestro: la modalidad (DIRECTO · DEPOSITO · SATELITE · FISCAL) es atributo de M-16 Contratos (modalidad_por_defecto) y del Operativo; los controles pasan a M-14 Tipos de servicio.</t>
        </is>
      </c>
    </row>
    <row r="18">
      <c r="A18" s="13" t="inlineStr">
        <is>
          <t>MD-13</t>
        </is>
      </c>
      <c r="B18" s="14" t="inlineStr">
        <is>
          <t>Familia de producto</t>
        </is>
      </c>
      <c r="C18" s="14" t="n">
        <v>0</v>
      </c>
      <c r="D18" s="13" t="inlineStr">
        <is>
          <t>M-07</t>
        </is>
      </c>
      <c r="E18" s="14" t="inlineStr">
        <is>
          <t>Productos</t>
        </is>
      </c>
      <c r="F18" s="14" t="inlineStr">
        <is>
          <t>La familia pasa a ser enumerado de M-07; la merma teórica pasa al producto.</t>
        </is>
      </c>
    </row>
    <row r="19" ht="25" customHeight="1">
      <c r="A19" s="13" t="inlineStr">
        <is>
          <t>MD-14</t>
        </is>
      </c>
      <c r="B19" s="14" t="inlineStr">
        <is>
          <t>Producto</t>
        </is>
      </c>
      <c r="C19" s="14" t="n">
        <v>1</v>
      </c>
      <c r="D19" s="13" t="inlineStr">
        <is>
          <t>M-07</t>
        </is>
      </c>
      <c r="E19" s="14" t="inlineStr">
        <is>
          <t>Productos</t>
        </is>
      </c>
      <c r="F19" s="14" t="inlineStr">
        <is>
          <t>Coincide; es_liquido → tipo; requiere_segregacion_por_origen → regimen_segregacion; agrega unidad_conversion, origen, tn_por_mano_turno ★.</t>
        </is>
      </c>
    </row>
    <row r="20">
      <c r="A20" s="15" t="inlineStr">
        <is>
          <t>MD-15</t>
        </is>
      </c>
      <c r="B20" s="16" t="inlineStr">
        <is>
          <t>Matriz de compatibilidad</t>
        </is>
      </c>
      <c r="C20" s="16" t="n">
        <v>2</v>
      </c>
      <c r="D20" s="15" t="inlineStr">
        <is>
          <t>M-24</t>
        </is>
      </c>
      <c r="E20" s="16" t="inlineStr">
        <is>
          <t>Matriz de compatibilidad</t>
        </is>
      </c>
      <c r="F20" s="16" t="inlineStr">
        <is>
          <t>Coincide (atributos según el modelo).</t>
        </is>
      </c>
    </row>
    <row r="21">
      <c r="A21" s="8" t="inlineStr">
        <is>
          <t>MD-16</t>
        </is>
      </c>
      <c r="B21" s="9" t="inlineStr">
        <is>
          <t>Buque</t>
        </is>
      </c>
      <c r="C21" s="9" t="n">
        <v>1</v>
      </c>
      <c r="D21" s="8" t="inlineStr">
        <is>
          <t>M-08</t>
        </is>
      </c>
      <c r="E21" s="9" t="inlineStr">
        <is>
          <t>Buques</t>
        </is>
      </c>
      <c r="F21" s="9" t="inlineStr">
        <is>
          <t>Coincide; se quitan agencia, armador, productos aptos y documentos requeridos (no son propios del buque).</t>
        </is>
      </c>
    </row>
    <row r="22">
      <c r="A22" s="15" t="inlineStr">
        <is>
          <t>MD-17</t>
        </is>
      </c>
      <c r="B22" s="16" t="inlineStr">
        <is>
          <t>Muelle y punto de conexión</t>
        </is>
      </c>
      <c r="C22" s="16" t="n">
        <v>1</v>
      </c>
      <c r="D22" s="15" t="inlineStr">
        <is>
          <t>M-25</t>
        </is>
      </c>
      <c r="E22" s="16" t="inlineStr">
        <is>
          <t>Muelles</t>
        </is>
      </c>
      <c r="F22" s="16" t="inlineStr">
        <is>
          <t>Coincide (atributos según el modelo).</t>
        </is>
      </c>
    </row>
    <row r="23">
      <c r="A23" s="8" t="inlineStr">
        <is>
          <t>MD-18</t>
        </is>
      </c>
      <c r="B23" s="9" t="inlineStr">
        <is>
          <t>Depósito</t>
        </is>
      </c>
      <c r="C23" s="9" t="n">
        <v>2</v>
      </c>
      <c r="D23" s="8" t="inlineStr">
        <is>
          <t>M-10</t>
        </is>
      </c>
      <c r="E23" s="9" t="inlineStr">
        <is>
          <t>Depósitos</t>
        </is>
      </c>
      <c r="F23" s="9" t="inlineStr">
        <is>
          <t>Coincide; agrega productos_aptos; se quitan cubierto, flete_relativo y permite_provisorio_aduanero.</t>
        </is>
      </c>
    </row>
    <row r="24" ht="25" customHeight="1">
      <c r="A24" s="15" t="inlineStr">
        <is>
          <t>MD-19</t>
        </is>
      </c>
      <c r="B24" s="16" t="inlineStr">
        <is>
          <t>Ubicación (celda · box · tanque)</t>
        </is>
      </c>
      <c r="C24" s="16" t="n">
        <v>3</v>
      </c>
      <c r="D24" s="15" t="inlineStr">
        <is>
          <t>M-10a</t>
        </is>
      </c>
      <c r="E24" s="16" t="inlineStr">
        <is>
          <t>Celdas · boxes · tanques (detalle de Depósitos)</t>
        </is>
      </c>
      <c r="F24" s="16" t="inlineStr">
        <is>
          <t>Detalle de M-10 (nivel 3); se quita cliente_exclusivo (la reserva es del contrato).</t>
        </is>
      </c>
    </row>
    <row r="25">
      <c r="A25" s="8" t="inlineStr">
        <is>
          <t>MD-20</t>
        </is>
      </c>
      <c r="B25" s="9" t="inlineStr">
        <is>
          <t>Balanza</t>
        </is>
      </c>
      <c r="C25" s="9" t="n">
        <v>2</v>
      </c>
      <c r="D25" s="8" t="inlineStr">
        <is>
          <t>M-26</t>
        </is>
      </c>
      <c r="E25" s="9" t="inlineStr">
        <is>
          <t>Balanzas</t>
        </is>
      </c>
      <c r="F25" s="9" t="inlineStr">
        <is>
          <t>Coincide; la certificación se desdobla en certificacion · fecha_emision · fecha_vencimiento · dias_aviso.</t>
        </is>
      </c>
    </row>
    <row r="26" ht="25" customHeight="1">
      <c r="A26" s="13" t="inlineStr">
        <is>
          <t>MD-21</t>
        </is>
      </c>
      <c r="B26" s="14" t="inlineStr">
        <is>
          <t>Transportista</t>
        </is>
      </c>
      <c r="C26" s="14" t="n">
        <v>1</v>
      </c>
      <c r="D26" s="13" t="inlineStr">
        <is>
          <t>M-06</t>
        </is>
      </c>
      <c r="E26" s="14" t="inlineStr">
        <is>
          <t>Clientes / Proveedores</t>
        </is>
      </c>
      <c r="F26" s="14" t="inlineStr">
        <is>
          <t>Se fusiona en M-06 (tipo proveedor, rubro transporte); la propiedad de la flota pasa a la unidad (M-11.propiedad).</t>
        </is>
      </c>
    </row>
    <row r="27">
      <c r="A27" s="8" t="inlineStr">
        <is>
          <t>MD-22</t>
        </is>
      </c>
      <c r="B27" s="9" t="inlineStr">
        <is>
          <t>Chofer</t>
        </is>
      </c>
      <c r="C27" s="9" t="n">
        <v>2</v>
      </c>
      <c r="D27" s="8" t="inlineStr">
        <is>
          <t>M-27</t>
        </is>
      </c>
      <c r="E27" s="9" t="inlineStr">
        <is>
          <t>Choferes</t>
        </is>
      </c>
      <c r="F27" s="9" t="inlineStr">
        <is>
          <t>Coincide (atributos según el modelo).</t>
        </is>
      </c>
    </row>
    <row r="28">
      <c r="A28" s="15" t="inlineStr">
        <is>
          <t>MD-23</t>
        </is>
      </c>
      <c r="B28" s="16" t="inlineStr">
        <is>
          <t>Unidad de transporte</t>
        </is>
      </c>
      <c r="C28" s="16" t="n">
        <v>2</v>
      </c>
      <c r="D28" s="15" t="inlineStr">
        <is>
          <t>M-11</t>
        </is>
      </c>
      <c r="E28" s="16" t="inlineStr">
        <is>
          <t>Transporte</t>
        </is>
      </c>
      <c r="F28" s="16" t="inlineStr">
        <is>
          <t>Unidad de transporte → M-11 con código, patente única, tipo y propiedad propia / tercero.</t>
        </is>
      </c>
    </row>
    <row r="29">
      <c r="A29" s="8" t="inlineStr">
        <is>
          <t>MD-24</t>
        </is>
      </c>
      <c r="B29" s="9" t="inlineStr">
        <is>
          <t>Puesto</t>
        </is>
      </c>
      <c r="C29" s="9" t="n">
        <v>0</v>
      </c>
      <c r="D29" s="8" t="inlineStr">
        <is>
          <t>M-05</t>
        </is>
      </c>
      <c r="E29" s="9" t="inlineStr">
        <is>
          <t>Áreas</t>
        </is>
      </c>
      <c r="F29" s="9" t="inlineStr">
        <is>
          <t>Puestos → M-05 Áreas (registros tipo puesto que referencian su área).</t>
        </is>
      </c>
    </row>
    <row r="30">
      <c r="A30" s="15" t="inlineStr">
        <is>
          <t>MD-25</t>
        </is>
      </c>
      <c r="B30" s="16" t="inlineStr">
        <is>
          <t>Persona</t>
        </is>
      </c>
      <c r="C30" s="16" t="n">
        <v>1</v>
      </c>
      <c r="D30" s="15" t="inlineStr">
        <is>
          <t>M-28</t>
        </is>
      </c>
      <c r="E30" s="16" t="inlineStr">
        <is>
          <t>Personal propio</t>
        </is>
      </c>
      <c r="F30" s="16" t="inlineStr">
        <is>
          <t>Coincide; legajo como clave; puesto → Ref. M-05.</t>
        </is>
      </c>
    </row>
    <row r="31">
      <c r="A31" s="8" t="inlineStr">
        <is>
          <t>MD-26</t>
        </is>
      </c>
      <c r="B31" s="9" t="inlineStr">
        <is>
          <t>Causa de demora</t>
        </is>
      </c>
      <c r="C31" s="9" t="n">
        <v>0</v>
      </c>
      <c r="D31" s="8" t="inlineStr">
        <is>
          <t>M-29</t>
        </is>
      </c>
      <c r="E31" s="9" t="inlineStr">
        <is>
          <t>Causas de demora</t>
        </is>
      </c>
      <c r="F31" s="9" t="inlineStr">
        <is>
          <t>Coincide (atributos según el modelo).</t>
        </is>
      </c>
    </row>
    <row r="32">
      <c r="A32" s="13" t="inlineStr">
        <is>
          <t>MD-27</t>
        </is>
      </c>
      <c r="B32" s="14" t="inlineStr">
        <is>
          <t>Equipo y maquinaria</t>
        </is>
      </c>
      <c r="C32" s="14" t="n">
        <v>2</v>
      </c>
      <c r="D32" s="13" t="inlineStr">
        <is>
          <t>M-12</t>
        </is>
      </c>
      <c r="E32" s="14" t="inlineStr">
        <is>
          <t>Maquinaria</t>
        </is>
      </c>
      <c r="F32" s="14" t="inlineStr">
        <is>
          <t>Coincide; agrega capacidad_operativa; absorbe MD-28 como atributo.</t>
        </is>
      </c>
    </row>
    <row r="33" ht="25" customHeight="1">
      <c r="A33" s="25" t="inlineStr">
        <is>
          <t>MD-28</t>
        </is>
      </c>
      <c r="B33" s="26" t="inlineStr">
        <is>
          <t>Plan de mantenimiento</t>
        </is>
      </c>
      <c r="C33" s="26" t="n">
        <v>1</v>
      </c>
      <c r="D33" s="25" t="inlineStr">
        <is>
          <t>—</t>
        </is>
      </c>
      <c r="E33" s="26" t="inlineStr">
        <is>
          <t>—</t>
        </is>
      </c>
      <c r="F33" s="26" t="inlineStr">
        <is>
          <t>Deja de ser maestro: el plan de mantenimiento es un atributo de M-12 Maquinaria (plan_mantenimiento + proximo_mantenimiento_h ★).</t>
        </is>
      </c>
    </row>
    <row r="34">
      <c r="A34" s="15" t="inlineStr">
        <is>
          <t>MD-29</t>
        </is>
      </c>
      <c r="B34" s="16" t="inlineStr">
        <is>
          <t>Repuesto de pañol</t>
        </is>
      </c>
      <c r="C34" s="16" t="n">
        <v>1</v>
      </c>
      <c r="D34" s="15" t="inlineStr">
        <is>
          <t>M-30</t>
        </is>
      </c>
      <c r="E34" s="16" t="inlineStr">
        <is>
          <t>Insumos y repuestos</t>
        </is>
      </c>
      <c r="F34" s="16" t="inlineStr">
        <is>
          <t>Coincide (atributos según el modelo).</t>
        </is>
      </c>
    </row>
    <row r="35">
      <c r="A35" s="13" t="inlineStr">
        <is>
          <t>MD-30</t>
        </is>
      </c>
      <c r="B35" s="14" t="inlineStr">
        <is>
          <t>Plan de cuentas</t>
        </is>
      </c>
      <c r="C35" s="14" t="n">
        <v>1</v>
      </c>
      <c r="D35" s="13" t="inlineStr">
        <is>
          <t>M-03</t>
        </is>
      </c>
      <c r="E35" s="14" t="inlineStr">
        <is>
          <t>Cuenta objeto</t>
        </is>
      </c>
      <c r="F35" s="14" t="inlineStr">
        <is>
          <t>Plan de cuentas → M-03 Cuenta objeto (tipos activo · pasivo · ingreso · costo · gasto · orden).</t>
        </is>
      </c>
    </row>
    <row r="36" ht="25" customHeight="1">
      <c r="A36" s="13" t="inlineStr">
        <is>
          <t>MD-31</t>
        </is>
      </c>
      <c r="B36" s="14" t="inlineStr">
        <is>
          <t>Centro y objeto de costo</t>
        </is>
      </c>
      <c r="C36" s="14" t="n">
        <v>2</v>
      </c>
      <c r="D36" s="13" t="inlineStr">
        <is>
          <t>M-03</t>
        </is>
      </c>
      <c r="E36" s="14" t="inlineStr">
        <is>
          <t>Cuenta objeto</t>
        </is>
      </c>
      <c r="F36" s="14" t="inlineStr">
        <is>
          <t>Centro de costo → M-02; el objeto operativo → M-03 (tipo objeto operativo, abierto automáticamente por cada Operativo).</t>
        </is>
      </c>
    </row>
    <row r="37">
      <c r="A37" s="8" t="inlineStr">
        <is>
          <t>MD-32</t>
        </is>
      </c>
      <c r="B37" s="9" t="inlineStr">
        <is>
          <t>Moneda y cotización</t>
        </is>
      </c>
      <c r="C37" s="9" t="n">
        <v>0</v>
      </c>
      <c r="D37" s="8" t="inlineStr">
        <is>
          <t>M-18</t>
        </is>
      </c>
      <c r="E37" s="9" t="inlineStr">
        <is>
          <t>Monedas y cotizaciones</t>
        </is>
      </c>
      <c r="F37" s="9" t="inlineStr">
        <is>
          <t>Coincide; cotizacion_fecha_valor → fecha_cotizacion · valor.</t>
        </is>
      </c>
    </row>
    <row r="38">
      <c r="A38" s="15" t="inlineStr">
        <is>
          <t>MD-33</t>
        </is>
      </c>
      <c r="B38" s="16" t="inlineStr">
        <is>
          <t>Comprobante y numeración</t>
        </is>
      </c>
      <c r="C38" s="16" t="n">
        <v>2</v>
      </c>
      <c r="D38" s="15" t="inlineStr">
        <is>
          <t>M-04</t>
        </is>
      </c>
      <c r="E38" s="16" t="inlineStr">
        <is>
          <t>Tipos de comprobantes</t>
        </is>
      </c>
      <c r="F38" s="16" t="inlineStr">
        <is>
          <t>Coincide; se vincula a unidad de negocio + centro de costo + cuenta objeto.</t>
        </is>
      </c>
    </row>
    <row r="39">
      <c r="A39" s="8" t="inlineStr">
        <is>
          <t>MD-34</t>
        </is>
      </c>
      <c r="B39" s="9" t="inlineStr">
        <is>
          <t>Tolerancia operativa</t>
        </is>
      </c>
      <c r="C39" s="9" t="n">
        <v>2</v>
      </c>
      <c r="D39" s="8" t="inlineStr">
        <is>
          <t>M-20</t>
        </is>
      </c>
      <c r="E39" s="9" t="inlineStr">
        <is>
          <t>Tolerancias</t>
        </is>
      </c>
      <c r="F39" s="9" t="inlineStr">
        <is>
          <t>Coincide; tolerancia_exceso / tolerancia_defecto → tolerancia_por_defecto (única).</t>
        </is>
      </c>
    </row>
    <row r="40">
      <c r="A40" s="15" t="inlineStr">
        <is>
          <t>MD-35</t>
        </is>
      </c>
      <c r="B40" s="16" t="inlineStr">
        <is>
          <t>Calidad de mercadería</t>
        </is>
      </c>
      <c r="C40" s="16" t="n">
        <v>2</v>
      </c>
      <c r="D40" s="15" t="inlineStr">
        <is>
          <t>M-23</t>
        </is>
      </c>
      <c r="E40" s="16" t="inlineStr">
        <is>
          <t>Matriz de calidad</t>
        </is>
      </c>
      <c r="F40" s="16" t="inlineStr">
        <is>
          <t>Coincide; valor nominal, tolerancia y acción se resumen en calidad + rangos.</t>
        </is>
      </c>
    </row>
    <row r="41" ht="25" customHeight="1">
      <c r="A41" s="25" t="inlineStr">
        <is>
          <t>MD-36</t>
        </is>
      </c>
      <c r="B41" s="26" t="inlineStr">
        <is>
          <t>Organismo externo</t>
        </is>
      </c>
      <c r="C41" s="26" t="n">
        <v>0</v>
      </c>
      <c r="D41" s="25" t="inlineStr">
        <is>
          <t>—</t>
        </is>
      </c>
      <c r="E41" s="26" t="inlineStr">
        <is>
          <t>—</t>
        </is>
      </c>
      <c r="F41" s="26" t="inlineStr">
        <is>
          <t>Deja de ser maestro: los organismos (Aduana, Consorcio, INTI) y sus plazos son reglas del circuito; la gestión documental se pide a la agencia (M-21).</t>
        </is>
      </c>
    </row>
    <row r="42" ht="25" customHeight="1">
      <c r="A42" s="25" t="inlineStr">
        <is>
          <t>MD-37</t>
        </is>
      </c>
      <c r="B42" s="26" t="inlineStr">
        <is>
          <t>Tipo de documento operativo</t>
        </is>
      </c>
      <c r="C42" s="26" t="n">
        <v>0</v>
      </c>
      <c r="D42" s="25" t="inlineStr">
        <is>
          <t>—</t>
        </is>
      </c>
      <c r="E42" s="26" t="inlineStr">
        <is>
          <t>—</t>
        </is>
      </c>
      <c r="F42" s="26" t="inlineStr">
        <is>
          <t>Deja de ser maestro: la lista de documentos exigidos (BL, manifiesto, plan de bodegas, despacho, certificado de calidad, habilitación aduanera) es una regla del circuito de descarga.</t>
        </is>
      </c>
    </row>
    <row r="43"/>
    <row r="44" ht="15.5" customHeight="1">
      <c r="A44" s="19" t="inlineStr">
        <is>
          <t>Maestros del modelo sin equivalente en el v2.2 (nuevos)</t>
        </is>
      </c>
    </row>
    <row r="45">
      <c r="A45" s="12" t="inlineStr">
        <is>
          <t>—</t>
        </is>
      </c>
      <c r="B45" s="12" t="inlineStr">
        <is>
          <t>—</t>
        </is>
      </c>
      <c r="C45" s="12" t="inlineStr">
        <is>
          <t>—</t>
        </is>
      </c>
      <c r="D45" s="12" t="inlineStr">
        <is>
          <t>M-02</t>
        </is>
      </c>
      <c r="E45" s="12" t="inlineStr">
        <is>
          <t>Centro de costo</t>
        </is>
      </c>
      <c r="F45" s="12" t="inlineStr">
        <is>
          <t>Centros de costo de la unidad de negocio.</t>
        </is>
      </c>
    </row>
    <row r="46">
      <c r="A46" s="36" t="inlineStr">
        <is>
          <t>—</t>
        </is>
      </c>
      <c r="B46" s="36" t="inlineStr">
        <is>
          <t>—</t>
        </is>
      </c>
      <c r="C46" s="36" t="inlineStr">
        <is>
          <t>—</t>
        </is>
      </c>
      <c r="D46" s="36" t="inlineStr">
        <is>
          <t>M-31</t>
        </is>
      </c>
      <c r="E46" s="36" t="inlineStr">
        <is>
          <t>Cupos de ingreso</t>
        </is>
      </c>
      <c r="F46" s="36" t="inlineStr">
        <is>
          <t>Sin equivalente en v2.2 (la planilla de cupos no era maestro). Estaba en el FD v1.0; se incorpora al Excel en v3.1 con dos tramos (Comercial · Tráfico).</t>
        </is>
      </c>
    </row>
    <row r="47">
      <c r="A47" s="36" t="inlineStr">
        <is>
          <t>—</t>
        </is>
      </c>
      <c r="B47" s="36" t="inlineStr">
        <is>
          <t>—</t>
        </is>
      </c>
      <c r="C47" s="36" t="inlineStr">
        <is>
          <t>—</t>
        </is>
      </c>
      <c r="D47" s="36" t="inlineStr">
        <is>
          <t>M-32</t>
        </is>
      </c>
      <c r="E47" s="36" t="inlineStr">
        <is>
          <t>Arribos ferroviarios</t>
        </is>
      </c>
      <c r="F47" s="36" t="inlineStr">
        <is>
          <t>Nuevo en la revisión del 15/09/2026: la mercadería también arriba por ferrocarril. Dos tramos (Comercial · Logística).</t>
        </is>
      </c>
    </row>
    <row r="48">
      <c r="A48" s="36" t="inlineStr">
        <is>
          <t>—</t>
        </is>
      </c>
      <c r="B48" s="36" t="inlineStr">
        <is>
          <t>—</t>
        </is>
      </c>
      <c r="C48" s="36" t="inlineStr">
        <is>
          <t>—</t>
        </is>
      </c>
      <c r="D48" s="36" t="inlineStr">
        <is>
          <t>M-33</t>
        </is>
      </c>
      <c r="E48" s="36" t="inlineStr">
        <is>
          <t>Régimen de turnos</t>
        </is>
      </c>
      <c r="F48" s="36" t="inlineStr">
        <is>
          <t>Nuevo en la revisión del 15/09/2026: turnos de 6 h parametrizados; reemplaza los T1/T2/T3 fijos de 8 h que traía MD-03 / M-19.</t>
        </is>
      </c>
    </row>
    <row r="49">
      <c r="A49" s="36" t="inlineStr">
        <is>
          <t>—</t>
        </is>
      </c>
      <c r="B49" s="36" t="inlineStr">
        <is>
          <t>—</t>
        </is>
      </c>
      <c r="C49" s="36" t="inlineStr">
        <is>
          <t>—</t>
        </is>
      </c>
      <c r="D49" s="36" t="inlineStr">
        <is>
          <t>M-34</t>
        </is>
      </c>
      <c r="E49" s="36" t="inlineStr">
        <is>
          <t>Métodos seguros</t>
        </is>
      </c>
      <c r="F49" s="36" t="inlineStr">
        <is>
          <t>Nuevo en la revisión del 15/09/2026: procedimiento y documentación con vencimiento que avalan la gestión de cada recurso (atributo metodo_seguro en los maestros de recursos).</t>
        </is>
      </c>
    </row>
  </sheetData>
  <mergeCells count="1">
    <mergeCell ref="A2:F2"/>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rgb="FFA6A6A6"/>
    <outlinePr summaryBelow="1" summaryRight="1"/>
    <pageSetUpPr/>
  </sheetPr>
  <dimension ref="A1:E80"/>
  <sheetViews>
    <sheetView zoomScaleNormal="100" workbookViewId="0">
      <pane ySplit="4" topLeftCell="A5" activePane="bottomLeft" state="frozen"/>
      <selection pane="bottomLeft" activeCell="A1" sqref="A1"/>
    </sheetView>
  </sheetViews>
  <sheetFormatPr baseColWidth="10" defaultColWidth="8.6328125" defaultRowHeight="14.5"/>
  <cols>
    <col width="10" customWidth="1" min="1" max="1"/>
    <col width="30" customWidth="1" min="2" max="2"/>
    <col width="80" customWidth="1" min="3" max="3"/>
    <col width="40" customWidth="1" min="4" max="4"/>
    <col width="60" customWidth="1" min="5" max="5"/>
  </cols>
  <sheetData>
    <row r="1" ht="18" customHeight="1">
      <c r="A1" s="1" t="inlineStr">
        <is>
          <t>Catálogo de transacciones y eventos del circuito (P1: descarga · transporte · almacenaje)</t>
        </is>
      </c>
    </row>
    <row r="2" ht="30" customHeight="1">
      <c r="A2" s="34" t="inlineStr">
        <is>
          <t>Catálogo de transacciones y eventos del circuito — v3.1 (15/09/2026): se agregan TX-43 · TX-44 y los eventos EV-ADU · EV-ARRIBO · EV-PLANREAL · EV-MS.</t>
        </is>
      </c>
    </row>
    <row r="3"/>
    <row r="4" ht="30" customHeight="1">
      <c r="A4" s="7" t="inlineStr">
        <is>
          <t>Código</t>
        </is>
      </c>
      <c r="B4" s="7" t="inlineStr">
        <is>
          <t>Etapa</t>
        </is>
      </c>
      <c r="C4" s="7" t="inlineStr">
        <is>
          <t>Transacción</t>
        </is>
      </c>
      <c r="D4" s="7" t="inlineStr">
        <is>
          <t>Maestros del modelo que consume</t>
        </is>
      </c>
      <c r="E4" s="7" t="inlineStr">
        <is>
          <t>Evento que dispara</t>
        </is>
      </c>
    </row>
    <row r="5" ht="25" customHeight="1">
      <c r="A5" s="8" t="inlineStr">
        <is>
          <t>TX-01</t>
        </is>
      </c>
      <c r="B5" s="9" t="inlineStr">
        <is>
          <t>A — Nominación y contratación</t>
        </is>
      </c>
      <c r="C5" s="9" t="inlineStr">
        <is>
          <t>Registrar el aviso de buque y el pedido de servicio: ETA, producto, toneladas, modalidad y alcance</t>
        </is>
      </c>
      <c r="D5" s="9" t="inlineStr">
        <is>
          <t>M-17 · M-06 · M-21 · M-07 · M-08</t>
        </is>
      </c>
      <c r="E5" s="9" t="inlineStr">
        <is>
          <t>EV-01 (si la información mínima está completa) · el aviso registrado alimenta el LineUp (M-17)</t>
        </is>
      </c>
    </row>
    <row r="6">
      <c r="A6" s="15" t="inlineStr">
        <is>
          <t>TX-02</t>
        </is>
      </c>
      <c r="B6" s="16" t="inlineStr">
        <is>
          <t>A — Nominación y contratación</t>
        </is>
      </c>
      <c r="C6" s="16" t="inlineStr">
        <is>
          <t>Solicitar al cliente los datos faltantes y revisar el LineUp del puerto</t>
        </is>
      </c>
      <c r="D6" s="16" t="inlineStr">
        <is>
          <t>M-17 · M-06</t>
        </is>
      </c>
      <c r="E6" s="16" t="inlineStr">
        <is>
          <t>—</t>
        </is>
      </c>
    </row>
    <row r="7">
      <c r="A7" s="8" t="inlineStr">
        <is>
          <t>TX-03</t>
        </is>
      </c>
      <c r="B7" s="9" t="inlineStr">
        <is>
          <t>A — Nominación y contratación</t>
        </is>
      </c>
      <c r="C7" s="9" t="inlineStr">
        <is>
          <t>Controlar la antelación del aviso contra el SLA contractual (15–30 días) y registrar el desvío</t>
        </is>
      </c>
      <c r="D7" s="9" t="inlineStr">
        <is>
          <t>M-16 · M-20</t>
        </is>
      </c>
      <c r="E7" s="9" t="inlineStr">
        <is>
          <t>—</t>
        </is>
      </c>
    </row>
    <row r="8" ht="25" customHeight="1">
      <c r="A8" s="15" t="inlineStr">
        <is>
          <t>TX-04</t>
        </is>
      </c>
      <c r="B8" s="16" t="inlineStr">
        <is>
          <t>A — Nominación y contratación</t>
        </is>
      </c>
      <c r="C8" s="16" t="inlineStr">
        <is>
          <t>Designar el servicio: alcance (descarga · transporte · depósito), modalidad y condición aduanera prevista</t>
        </is>
      </c>
      <c r="D8" s="16" t="inlineStr">
        <is>
          <t>M-14 · M-16</t>
        </is>
      </c>
      <c r="E8" s="16" t="inlineStr">
        <is>
          <t>—</t>
        </is>
      </c>
    </row>
    <row r="9">
      <c r="A9" s="8" t="inlineStr">
        <is>
          <t>TX-05</t>
        </is>
      </c>
      <c r="B9" s="9" t="inlineStr">
        <is>
          <t>A — Nominación y contratación</t>
        </is>
      </c>
      <c r="C9" s="9" t="inlineStr">
        <is>
          <t>Cotizar la operación spot con la tarifa general</t>
        </is>
      </c>
      <c r="D9" s="9" t="inlineStr">
        <is>
          <t>M-15</t>
        </is>
      </c>
      <c r="E9" s="9" t="inlineStr">
        <is>
          <t>—</t>
        </is>
      </c>
    </row>
    <row r="10" ht="25" customHeight="1">
      <c r="A10" s="15" t="inlineStr">
        <is>
          <t>TX-06</t>
        </is>
      </c>
      <c r="B10" s="16" t="inlineStr">
        <is>
          <t>A — Nominación y contratación</t>
        </is>
      </c>
      <c r="C10" s="16" t="inlineStr">
        <is>
          <t>Iniciar el trámite de habilitación / extensión del depósito fiscal ante Aduana (≥ 20 días antes del arribo)</t>
        </is>
      </c>
      <c r="D10" s="16" t="inlineStr">
        <is>
          <t>M-10</t>
        </is>
      </c>
      <c r="E10" s="16" t="inlineStr">
        <is>
          <t>EV-02</t>
        </is>
      </c>
    </row>
    <row r="11">
      <c r="A11" s="8" t="inlineStr">
        <is>
          <t>TX-07</t>
        </is>
      </c>
      <c r="B11" s="9" t="inlineStr">
        <is>
          <t>A — Nominación y contratación</t>
        </is>
      </c>
      <c r="C11" s="9" t="inlineStr">
        <is>
          <t>Generar el contrato / orden de servicio: cliente, producto, buque, puerto, ETA y tarifa</t>
        </is>
      </c>
      <c r="D11" s="9" t="inlineStr">
        <is>
          <t>M-15 · M-16</t>
        </is>
      </c>
      <c r="E11" s="9" t="inlineStr">
        <is>
          <t>EV-03</t>
        </is>
      </c>
    </row>
    <row r="12">
      <c r="A12" s="15" t="inlineStr">
        <is>
          <t>TX-08</t>
        </is>
      </c>
      <c r="B12" s="16" t="inlineStr">
        <is>
          <t>B — Planificación y autorizaciones</t>
        </is>
      </c>
      <c r="C12" s="16" t="inlineStr">
        <is>
          <t>Abrir el operativo sobre el contrato de servicio</t>
        </is>
      </c>
      <c r="D12" s="16" t="inlineStr">
        <is>
          <t>M-09 · M-03</t>
        </is>
      </c>
      <c r="E12" s="16" t="inlineStr">
        <is>
          <t>EV-04</t>
        </is>
      </c>
    </row>
    <row r="13" ht="25" customHeight="1">
      <c r="A13" s="8" t="inlineStr">
        <is>
          <t>TX-09</t>
        </is>
      </c>
      <c r="B13" s="9" t="inlineStr">
        <is>
          <t>B — Planificación y autorizaciones</t>
        </is>
      </c>
      <c r="C13" s="9" t="inlineStr">
        <is>
          <t>Solicitar el ETA actualizado y la documentación del buque: plan de bodegas, BL y documentación de importación</t>
        </is>
      </c>
      <c r="D13" s="9" t="inlineStr">
        <is>
          <t>M-17 · M-21 · M-08</t>
        </is>
      </c>
      <c r="E13" s="9" t="inlineStr">
        <is>
          <t>—</t>
        </is>
      </c>
    </row>
    <row r="14">
      <c r="A14" s="15" t="inlineStr">
        <is>
          <t>TX-10</t>
        </is>
      </c>
      <c r="B14" s="16" t="inlineStr">
        <is>
          <t>B — Planificación y autorizaciones</t>
        </is>
      </c>
      <c r="C14" s="16" t="inlineStr">
        <is>
          <t>Reclamar la documentación a la agencia marítima y regularizar</t>
        </is>
      </c>
      <c r="D14" s="16" t="inlineStr">
        <is>
          <t>M-21</t>
        </is>
      </c>
      <c r="E14" s="16" t="inlineStr">
        <is>
          <t>—</t>
        </is>
      </c>
    </row>
    <row r="15" ht="25" customHeight="1">
      <c r="A15" s="8" t="inlineStr">
        <is>
          <t>TX-11</t>
        </is>
      </c>
      <c r="B15" s="9" t="inlineStr">
        <is>
          <t>B — Planificación y autorizaciones</t>
        </is>
      </c>
      <c r="C15" s="9" t="inlineStr">
        <is>
          <t>Verificar la capacidad disponible por depósito, celda y satélite contra los buques proyectados (panel de ocupación)</t>
        </is>
      </c>
      <c r="D15" s="9" t="inlineStr">
        <is>
          <t>M-17 · M-10 · M-10a</t>
        </is>
      </c>
      <c r="E15" s="9" t="inlineStr">
        <is>
          <t>—</t>
        </is>
      </c>
    </row>
    <row r="16">
      <c r="A16" s="15" t="inlineStr">
        <is>
          <t>TX-12</t>
        </is>
      </c>
      <c r="B16" s="16" t="inlineStr">
        <is>
          <t>B — Planificación y autorizaciones</t>
        </is>
      </c>
      <c r="C16" s="16" t="inlineStr">
        <is>
          <t>Definir el destino por cliente / BL: condición nacional o fiscal y capacidad fiscal habilitada</t>
        </is>
      </c>
      <c r="D16" s="16" t="inlineStr">
        <is>
          <t>M-06 · M-10</t>
        </is>
      </c>
      <c r="E16" s="16" t="inlineStr">
        <is>
          <t>—</t>
        </is>
      </c>
    </row>
    <row r="17" ht="25" customHeight="1">
      <c r="A17" s="8" t="inlineStr">
        <is>
          <t>TX-13</t>
        </is>
      </c>
      <c r="B17" s="9" t="inlineStr">
        <is>
          <t>B — Planificación y autorizaciones</t>
        </is>
      </c>
      <c r="C17" s="9" t="inlineStr">
        <is>
          <t>Validar el régimen del producto (RENPRE / RENAR) y su compatibilidad con el depósito habilitado</t>
        </is>
      </c>
      <c r="D17" s="9" t="inlineStr">
        <is>
          <t>M-07 · M-24 · M-10</t>
        </is>
      </c>
      <c r="E17" s="9" t="inlineStr">
        <is>
          <t>EV-05</t>
        </is>
      </c>
    </row>
    <row r="18">
      <c r="A18" s="15" t="inlineStr">
        <is>
          <t>TX-14</t>
        </is>
      </c>
      <c r="B18" s="16" t="inlineStr">
        <is>
          <t>B — Planificación y autorizaciones</t>
        </is>
      </c>
      <c r="C18" s="16" t="inlineStr">
        <is>
          <t>Reunión del Consorcio portuario: asignar muelle y grúa</t>
        </is>
      </c>
      <c r="D18" s="16" t="inlineStr">
        <is>
          <t>M-25 · M-12</t>
        </is>
      </c>
      <c r="E18" s="16" t="inlineStr">
        <is>
          <t>—</t>
        </is>
      </c>
    </row>
    <row r="19">
      <c r="A19" s="8" t="inlineStr">
        <is>
          <t>TX-15</t>
        </is>
      </c>
      <c r="B19" s="9" t="inlineStr">
        <is>
          <t>B — Planificación y autorizaciones</t>
        </is>
      </c>
      <c r="C19" s="9" t="inlineStr">
        <is>
          <t>Gestionar las autorizaciones aduaneras, incl. habilitación de días y horas inhábiles</t>
        </is>
      </c>
      <c r="D19" s="9" t="inlineStr">
        <is>
          <t>M-19</t>
        </is>
      </c>
      <c r="E19" s="9" t="inlineStr">
        <is>
          <t>EV-06 (si Aduana autoriza)</t>
        </is>
      </c>
    </row>
    <row r="20">
      <c r="A20" s="15" t="inlineStr">
        <is>
          <t>TX-16</t>
        </is>
      </c>
      <c r="B20" s="16" t="inlineStr">
        <is>
          <t>B — Planificación y autorizaciones</t>
        </is>
      </c>
      <c r="C20" s="16" t="inlineStr">
        <is>
          <t>Esperar la autorización en recalada o retirar el buque a rada y regularizar la documentación</t>
        </is>
      </c>
      <c r="D20" s="16" t="inlineStr">
        <is>
          <t>M-08</t>
        </is>
      </c>
      <c r="E20" s="16" t="inlineStr">
        <is>
          <t>—</t>
        </is>
      </c>
    </row>
    <row r="21">
      <c r="A21" s="8" t="inlineStr">
        <is>
          <t>TX-18</t>
        </is>
      </c>
      <c r="B21" s="9" t="inlineStr">
        <is>
          <t>B — Planificación y autorizaciones</t>
        </is>
      </c>
      <c r="C21" s="9" t="inlineStr">
        <is>
          <t>Contratar manos (declaración del capitán) y programar personal eventual y posiciones</t>
        </is>
      </c>
      <c r="D21" s="9" t="inlineStr">
        <is>
          <t>M-19 · M-13 · M-05 · M-28 · M-20</t>
        </is>
      </c>
      <c r="E21" s="9" t="inlineStr">
        <is>
          <t>EV-07</t>
        </is>
      </c>
    </row>
    <row r="22">
      <c r="A22" s="15" t="inlineStr">
        <is>
          <t>TX-19</t>
        </is>
      </c>
      <c r="B22" s="16" t="inlineStr">
        <is>
          <t>B — Planificación y autorizaciones</t>
        </is>
      </c>
      <c r="C22" s="16" t="inlineStr">
        <is>
          <t>Planificar la conexión por cañería y la dotación mínima</t>
        </is>
      </c>
      <c r="D22" s="16" t="inlineStr">
        <is>
          <t>M-25 · M-28</t>
        </is>
      </c>
      <c r="E22" s="16" t="inlineStr">
        <is>
          <t>EV-07</t>
        </is>
      </c>
    </row>
    <row r="23" ht="25" customHeight="1">
      <c r="A23" s="8" t="inlineStr">
        <is>
          <t>TX-20</t>
        </is>
      </c>
      <c r="B23" s="9" t="inlineStr">
        <is>
          <t>B — Planificación y autorizaciones</t>
        </is>
      </c>
      <c r="C23" s="9" t="inlineStr">
        <is>
          <t>Definir la modalidad de descarga y destino: directo (costado vapor) · depósito propio · satélite · fiscal — criterio formal registrado</t>
        </is>
      </c>
      <c r="D23" s="9" t="inlineStr">
        <is>
          <t>M-14 · M-10</t>
        </is>
      </c>
      <c r="E23" s="9" t="inlineStr">
        <is>
          <t>—</t>
        </is>
      </c>
    </row>
    <row r="24">
      <c r="A24" s="15" t="inlineStr">
        <is>
          <t>TX-21</t>
        </is>
      </c>
      <c r="B24" s="16" t="inlineStr">
        <is>
          <t>B — Planificación y autorizaciones</t>
        </is>
      </c>
      <c r="C24" s="16" t="inlineStr">
        <is>
          <t>Dimensionar y asignar la flota de traslado (propia · tercera · mixta); habilitar camiones y choferes</t>
        </is>
      </c>
      <c r="D24" s="16" t="inlineStr">
        <is>
          <t>M-06 · M-27 · M-11 · M-20</t>
        </is>
      </c>
      <c r="E24" s="16" t="inlineStr">
        <is>
          <t>—</t>
        </is>
      </c>
    </row>
    <row r="25">
      <c r="A25" s="8" t="inlineStr">
        <is>
          <t>TX-22</t>
        </is>
      </c>
      <c r="B25" s="9" t="inlineStr">
        <is>
          <t>B — Planificación y autorizaciones</t>
        </is>
      </c>
      <c r="C25" s="9" t="inlineStr">
        <is>
          <t>Asignar equipos, portón y balanza</t>
        </is>
      </c>
      <c r="D25" s="9" t="inlineStr">
        <is>
          <t>M-09 · M-26 · M-12</t>
        </is>
      </c>
      <c r="E25" s="9" t="inlineStr">
        <is>
          <t>—</t>
        </is>
      </c>
    </row>
    <row r="26">
      <c r="A26" s="15" t="inlineStr">
        <is>
          <t>TX-23</t>
        </is>
      </c>
      <c r="B26" s="16" t="inlineStr">
        <is>
          <t>B — Planificación y autorizaciones</t>
        </is>
      </c>
      <c r="C26" s="16" t="inlineStr">
        <is>
          <t>Asignar depósito, celda / box o tanque (o satélite) → ver subproceso SP-1</t>
        </is>
      </c>
      <c r="D26" s="16" t="inlineStr">
        <is>
          <t>M-24 · M-10 · M-10a · M-23</t>
        </is>
      </c>
      <c r="E26" s="16" t="inlineStr">
        <is>
          <t>—</t>
        </is>
      </c>
    </row>
    <row r="27">
      <c r="A27" s="8" t="inlineStr">
        <is>
          <t>TX-23.1</t>
        </is>
      </c>
      <c r="B27" s="9" t="inlineStr">
        <is>
          <t>SP-1 — Destino de acopio</t>
        </is>
      </c>
      <c r="C27" s="9" t="inlineStr">
        <is>
          <t>Asignar depósito fiscal habilitado: propio o alternativo en Comirsa (provisorio aduanero)</t>
        </is>
      </c>
      <c r="D27" s="9" t="inlineStr">
        <is>
          <t>M-10</t>
        </is>
      </c>
      <c r="E27" s="9" t="inlineStr">
        <is>
          <t>—</t>
        </is>
      </c>
    </row>
    <row r="28" ht="25" customHeight="1">
      <c r="A28" s="15" t="inlineStr">
        <is>
          <t>TX-23.2</t>
        </is>
      </c>
      <c r="B28" s="16" t="inlineStr">
        <is>
          <t>SP-1 — Destino de acopio</t>
        </is>
      </c>
      <c r="C28" s="16" t="inlineStr">
        <is>
          <t>Asignar galpón habilitado y segregar el producto regulado (ej.: carbonato de litio en bolsones, sin contacto con fertilizante)</t>
        </is>
      </c>
      <c r="D28" s="16" t="inlineStr">
        <is>
          <t>M-07 · M-24 · M-10</t>
        </is>
      </c>
      <c r="E28" s="16" t="inlineStr">
        <is>
          <t>—</t>
        </is>
      </c>
    </row>
    <row r="29">
      <c r="A29" s="8" t="inlineStr">
        <is>
          <t>TX-23.3</t>
        </is>
      </c>
      <c r="B29" s="9" t="inlineStr">
        <is>
          <t>SP-1 — Destino de acopio</t>
        </is>
      </c>
      <c r="C29" s="9" t="inlineStr">
        <is>
          <t>Estimar el tiempo de permanencia por estadística de despacho del producto y ventana comercial</t>
        </is>
      </c>
      <c r="D29" s="9" t="inlineStr">
        <is>
          <t>M-06 · M-07</t>
        </is>
      </c>
      <c r="E29" s="9" t="inlineStr">
        <is>
          <t>—</t>
        </is>
      </c>
    </row>
    <row r="30">
      <c r="A30" s="15" t="inlineStr">
        <is>
          <t>TX-23.4</t>
        </is>
      </c>
      <c r="B30" s="16" t="inlineStr">
        <is>
          <t>SP-1 — Destino de acopio</t>
        </is>
      </c>
      <c r="C30" s="16" t="inlineStr">
        <is>
          <t>Asignar celda y box en planta propia (TIS planta 1 o 2) según la matriz producto–box</t>
        </is>
      </c>
      <c r="D30" s="16" t="inlineStr">
        <is>
          <t>M-24 · M-10 · M-10a</t>
        </is>
      </c>
      <c r="E30" s="16" t="inlineStr">
        <is>
          <t>—</t>
        </is>
      </c>
    </row>
    <row r="31">
      <c r="A31" s="8" t="inlineStr">
        <is>
          <t>TX-23.5</t>
        </is>
      </c>
      <c r="B31" s="9" t="inlineStr">
        <is>
          <t>SP-1 — Destino de acopio</t>
        </is>
      </c>
      <c r="C31" s="9" t="inlineStr">
        <is>
          <t>Derivar a un depósito satélite (Usina · AFA · GAP · MTR) o a un satélite de terceros</t>
        </is>
      </c>
      <c r="D31" s="9" t="inlineStr">
        <is>
          <t>M-09 · M-10</t>
        </is>
      </c>
      <c r="E31" s="9" t="inlineStr">
        <is>
          <t>—</t>
        </is>
      </c>
    </row>
    <row r="32" ht="25" customHeight="1">
      <c r="A32" s="15" t="inlineStr">
        <is>
          <t>TX-23.6</t>
        </is>
      </c>
      <c r="B32" s="16" t="inlineStr">
        <is>
          <t>SP-1 — Destino de acopio</t>
        </is>
      </c>
      <c r="C32" s="16" t="inlineStr">
        <is>
          <t>Enviar la mercadería a Timbúes (espacio propio, flete más largo); controlar la antigüedad / FIFO del remanente</t>
        </is>
      </c>
      <c r="D32" s="16" t="inlineStr">
        <is>
          <t>M-09 · M-10</t>
        </is>
      </c>
      <c r="E32" s="16" t="inlineStr">
        <is>
          <t>—</t>
        </is>
      </c>
    </row>
    <row r="33" ht="25" customHeight="1">
      <c r="A33" s="8" t="inlineStr">
        <is>
          <t>TX-23.7</t>
        </is>
      </c>
      <c r="B33" s="9" t="inlineStr">
        <is>
          <t>SP-1 — Destino de acopio</t>
        </is>
      </c>
      <c r="C33" s="9" t="inlineStr">
        <is>
          <t>Registrar la asignación de destino y verificar si se requiere segregación por calidad (azufre · fósforo · color / origen)</t>
        </is>
      </c>
      <c r="D33" s="9" t="inlineStr">
        <is>
          <t>M-24 · M-10a · M-23</t>
        </is>
      </c>
      <c r="E33" s="9" t="inlineStr">
        <is>
          <t>EV-17 (tras la segregación)</t>
        </is>
      </c>
    </row>
    <row r="34">
      <c r="A34" s="15" t="inlineStr">
        <is>
          <t>TX-23.8</t>
        </is>
      </c>
      <c r="B34" s="16" t="inlineStr">
        <is>
          <t>SP-1 — Destino de acopio</t>
        </is>
      </c>
      <c r="C34" s="16" t="inlineStr">
        <is>
          <t>Asignar un box exclusivo para esa calidad</t>
        </is>
      </c>
      <c r="D34" s="16" t="inlineStr">
        <is>
          <t>M-10a · M-23</t>
        </is>
      </c>
      <c r="E34" s="16" t="inlineStr">
        <is>
          <t>EV-17</t>
        </is>
      </c>
    </row>
    <row r="35" ht="25" customHeight="1">
      <c r="A35" s="8" t="inlineStr">
        <is>
          <t>TX-23.9</t>
        </is>
      </c>
      <c r="B35" s="9" t="inlineStr">
        <is>
          <t>SP-1 — Destino de acopio</t>
        </is>
      </c>
      <c r="C35" s="9" t="inlineStr">
        <is>
          <t>Convivir dos calidades en el mismo box y registrar el punto de conflicto (reservar para despachos donde no impacte)</t>
        </is>
      </c>
      <c r="D35" s="9" t="inlineStr">
        <is>
          <t>M-10a · M-23</t>
        </is>
      </c>
      <c r="E35" s="9" t="inlineStr">
        <is>
          <t>EV-17</t>
        </is>
      </c>
    </row>
    <row r="36">
      <c r="A36" s="15" t="inlineStr">
        <is>
          <t>TX-24</t>
        </is>
      </c>
      <c r="B36" s="16" t="inlineStr">
        <is>
          <t>B — Planificación y autorizaciones</t>
        </is>
      </c>
      <c r="C36" s="16" t="inlineStr">
        <is>
          <t>Coordinar la secuencia de bodegas con capitán, agencia marítima y estiba</t>
        </is>
      </c>
      <c r="D36" s="16" t="inlineStr">
        <is>
          <t>M-21 · M-13 · M-08</t>
        </is>
      </c>
      <c r="E36" s="16" t="inlineStr">
        <is>
          <t>EV-08</t>
        </is>
      </c>
    </row>
    <row r="37" ht="25" customHeight="1">
      <c r="A37" s="8" t="inlineStr">
        <is>
          <t>TX-25</t>
        </is>
      </c>
      <c r="B37" s="9" t="inlineStr">
        <is>
          <t>C — Ejecución de la descarga y transporte</t>
        </is>
      </c>
      <c r="C37" s="9" t="inlineStr">
        <is>
          <t>Iniciar la descarga: registrar el inicio del operativo (fecha / hora, bodega, turno, modalidad)</t>
        </is>
      </c>
      <c r="D37" s="9" t="inlineStr">
        <is>
          <t>M-19 · M-14 · M-25</t>
        </is>
      </c>
      <c r="E37" s="9" t="inlineStr">
        <is>
          <t>EV-09</t>
        </is>
      </c>
    </row>
    <row r="38" ht="25" customHeight="1">
      <c r="A38" s="15" t="inlineStr">
        <is>
          <t>TX-26</t>
        </is>
      </c>
      <c r="B38" s="16" t="inlineStr">
        <is>
          <t>C — Ejecución de la descarga y transporte</t>
        </is>
      </c>
      <c r="C38" s="16" t="inlineStr">
        <is>
          <t>Parte de descarga por turno: grampadas, camiones, toneladas y rendimiento</t>
        </is>
      </c>
      <c r="D38" s="16" t="inlineStr">
        <is>
          <t>M-19 · M-28 · M-20</t>
        </is>
      </c>
      <c r="E38" s="16" t="inlineStr">
        <is>
          <t>EV-10 (si el rendimiento está dentro del parámetro)</t>
        </is>
      </c>
    </row>
    <row r="39" ht="25" customHeight="1">
      <c r="A39" s="8" t="inlineStr">
        <is>
          <t>TX-27</t>
        </is>
      </c>
      <c r="B39" s="9" t="inlineStr">
        <is>
          <t>C — Ejecución de la descarga y transporte</t>
        </is>
      </c>
      <c r="C39" s="9" t="inlineStr">
        <is>
          <t>Analizar la causa, registrar la demora con causa estructurada y ajustar recursos u operación</t>
        </is>
      </c>
      <c r="D39" s="9" t="inlineStr">
        <is>
          <t>M-28 · M-29 · M-12</t>
        </is>
      </c>
      <c r="E39" s="9" t="inlineStr">
        <is>
          <t>—</t>
        </is>
      </c>
    </row>
    <row r="40" ht="25" customHeight="1">
      <c r="A40" s="15" t="inlineStr">
        <is>
          <t>TX-28</t>
        </is>
      </c>
      <c r="B40" s="16" t="inlineStr">
        <is>
          <t>C — Ejecución de la descarga y transporte</t>
        </is>
      </c>
      <c r="C40" s="16" t="inlineStr">
        <is>
          <t>Descarga por cañería y medición (calibración del tanque)</t>
        </is>
      </c>
      <c r="D40" s="16" t="inlineStr">
        <is>
          <t>M-25 · M-10a</t>
        </is>
      </c>
      <c r="E40" s="16" t="inlineStr">
        <is>
          <t>EV-10</t>
        </is>
      </c>
    </row>
    <row r="41" ht="25" customHeight="1">
      <c r="A41" s="8" t="inlineStr">
        <is>
          <t>TX-29</t>
        </is>
      </c>
      <c r="B41" s="9" t="inlineStr">
        <is>
          <t>C — Ejecución de la descarga y transporte</t>
        </is>
      </c>
      <c r="C41" s="9" t="inlineStr">
        <is>
          <t>Crear el operativo logístico: asignar la flota y habilitar camiones y choferes en portería</t>
        </is>
      </c>
      <c r="D41" s="9" t="inlineStr">
        <is>
          <t>M-09 · M-06 · M-27 · M-11</t>
        </is>
      </c>
      <c r="E41" s="9" t="inlineStr">
        <is>
          <t>—</t>
        </is>
      </c>
    </row>
    <row r="42" ht="25" customHeight="1">
      <c r="A42" s="15" t="inlineStr">
        <is>
          <t>TX-30</t>
        </is>
      </c>
      <c r="B42" s="16" t="inlineStr">
        <is>
          <t>C — Ejecución de la descarga y transporte</t>
        </is>
      </c>
      <c r="C42" s="16" t="inlineStr">
        <is>
          <t>Monitorear el circuito puerto–depósito por GPS: pesajes, tiempos y desvíos</t>
        </is>
      </c>
      <c r="D42" s="16" t="inlineStr">
        <is>
          <t>M-09 · M-11 · M-20</t>
        </is>
      </c>
      <c r="E42" s="16" t="inlineStr">
        <is>
          <t>EV-12 (si hay desvío)</t>
        </is>
      </c>
    </row>
    <row r="43" ht="25" customHeight="1">
      <c r="A43" s="8" t="inlineStr">
        <is>
          <t>TX-31</t>
        </is>
      </c>
      <c r="B43" s="9" t="inlineStr">
        <is>
          <t>C — Ejecución de la descarga y transporte</t>
        </is>
      </c>
      <c r="C43" s="9" t="inlineStr">
        <is>
          <t>Avería o demora imputable al buque: emitir la carta de protesto y registrar el reclamo</t>
        </is>
      </c>
      <c r="D43" s="9" t="inlineStr">
        <is>
          <t>M-21 · M-08 · M-29</t>
        </is>
      </c>
      <c r="E43" s="9" t="inlineStr">
        <is>
          <t>EV-13</t>
        </is>
      </c>
    </row>
    <row r="44" ht="25" customHeight="1">
      <c r="A44" s="15" t="inlineStr">
        <is>
          <t>TX-32</t>
        </is>
      </c>
      <c r="B44" s="16" t="inlineStr">
        <is>
          <t>D — Pesaje, depósito, conciliación y cierre</t>
        </is>
      </c>
      <c r="C44" s="16" t="inlineStr">
        <is>
          <t>Pesar el camión en la balanza fiscal de puerto y emitir el ticket</t>
        </is>
      </c>
      <c r="D44" s="16" t="inlineStr">
        <is>
          <t>M-16 · M-26 · M-11</t>
        </is>
      </c>
      <c r="E44" s="16" t="inlineStr">
        <is>
          <t>EV-14 (si la balanza está disponible)</t>
        </is>
      </c>
    </row>
    <row r="45" ht="25" customHeight="1">
      <c r="A45" s="8" t="inlineStr">
        <is>
          <t>TX-33</t>
        </is>
      </c>
      <c r="B45" s="9" t="inlineStr">
        <is>
          <t>D — Pesaje, depósito, conciliación y cierre</t>
        </is>
      </c>
      <c r="C45" s="9" t="inlineStr">
        <is>
          <t>Derivar el camión a otra balanza (B1 · B2 · B3) y registrar la demora como congestión de balanza</t>
        </is>
      </c>
      <c r="D45" s="9" t="inlineStr">
        <is>
          <t>M-26 · M-29</t>
        </is>
      </c>
      <c r="E45" s="9" t="inlineStr">
        <is>
          <t>—</t>
        </is>
      </c>
    </row>
    <row r="46" ht="25" customHeight="1">
      <c r="A46" s="15" t="inlineStr">
        <is>
          <t>TX-34</t>
        </is>
      </c>
      <c r="B46" s="16" t="inlineStr">
        <is>
          <t>D — Pesaje, depósito, conciliación y cierre</t>
        </is>
      </c>
      <c r="C46" s="16" t="inlineStr">
        <is>
          <t>Pesar en la balanza de depósito; el ticket asigna el destino: celda / box, tanque o satélite</t>
        </is>
      </c>
      <c r="D46" s="16" t="inlineStr">
        <is>
          <t>M-10 · M-10a · M-26</t>
        </is>
      </c>
      <c r="E46" s="16" t="inlineStr">
        <is>
          <t>—</t>
        </is>
      </c>
    </row>
    <row r="47" ht="25" customHeight="1">
      <c r="A47" s="8" t="inlineStr">
        <is>
          <t>TX-35</t>
        </is>
      </c>
      <c r="B47" s="9" t="inlineStr">
        <is>
          <t>D — Pesaje, depósito, conciliación y cierre</t>
        </is>
      </c>
      <c r="C47" s="9" t="inlineStr">
        <is>
          <t>Recibir por fosa y noria y estibar desde el techo del galpón</t>
        </is>
      </c>
      <c r="D47" s="9" t="inlineStr">
        <is>
          <t>M-10a · M-12</t>
        </is>
      </c>
      <c r="E47" s="9" t="inlineStr">
        <is>
          <t>—</t>
        </is>
      </c>
    </row>
    <row r="48" ht="25" customHeight="1">
      <c r="A48" s="15" t="inlineStr">
        <is>
          <t>TX-36</t>
        </is>
      </c>
      <c r="B48" s="16" t="inlineStr">
        <is>
          <t>D — Pesaje, depósito, conciliación y cierre</t>
        </is>
      </c>
      <c r="C48" s="16" t="inlineStr">
        <is>
          <t>Descargar a piso y estibar con pala cargadora y cinta</t>
        </is>
      </c>
      <c r="D48" s="16" t="inlineStr">
        <is>
          <t>M-12</t>
        </is>
      </c>
      <c r="E48" s="16" t="inlineStr">
        <is>
          <t>—</t>
        </is>
      </c>
    </row>
    <row r="49" ht="25" customHeight="1">
      <c r="A49" s="8" t="inlineStr">
        <is>
          <t>TX-37</t>
        </is>
      </c>
      <c r="B49" s="9" t="inlineStr">
        <is>
          <t>D — Pesaje, depósito, conciliación y cierre</t>
        </is>
      </c>
      <c r="C49" s="9" t="inlineStr">
        <is>
          <t>Registrar el ingreso al stock del cliente con el ticket; trazabilidad por buque, fecha, origen y calidad (lote)</t>
        </is>
      </c>
      <c r="D49" s="9" t="inlineStr">
        <is>
          <t>M-06 · M-07 · M-10a · M-23</t>
        </is>
      </c>
      <c r="E49" s="9" t="inlineStr">
        <is>
          <t>EV-15</t>
        </is>
      </c>
    </row>
    <row r="50" ht="25" customHeight="1">
      <c r="A50" s="15" t="inlineStr">
        <is>
          <t>TX-38</t>
        </is>
      </c>
      <c r="B50" s="16" t="inlineStr">
        <is>
          <t>D — Pesaje, depósito, conciliación y cierre</t>
        </is>
      </c>
      <c r="C50" s="16" t="inlineStr">
        <is>
          <t>Controlar el ritmo de descarga del turno contra el ritmo contractual (~600 tn/turno con box lleno · hasta 1.000 vacío); registrar la ocupación del box</t>
        </is>
      </c>
      <c r="D50" s="16" t="inlineStr">
        <is>
          <t>M-16 · M-10a · M-20</t>
        </is>
      </c>
      <c r="E50" s="16" t="inlineStr">
        <is>
          <t>—</t>
        </is>
      </c>
    </row>
    <row r="51" ht="25" customHeight="1">
      <c r="A51" s="8" t="inlineStr">
        <is>
          <t>TX-39</t>
        </is>
      </c>
      <c r="B51" s="9" t="inlineStr">
        <is>
          <t>D — Pesaje, depósito, conciliación y cierre</t>
        </is>
      </c>
      <c r="C51" s="9" t="inlineStr">
        <is>
          <t>Cotejar turno a turno los tickets de la balanza fiscal de puerto y de la balanza TyS</t>
        </is>
      </c>
      <c r="D51" s="9" t="inlineStr">
        <is>
          <t>M-26 · M-20</t>
        </is>
      </c>
      <c r="E51" s="9" t="inlineStr">
        <is>
          <t>—</t>
        </is>
      </c>
    </row>
    <row r="52" ht="25" customHeight="1">
      <c r="A52" s="15" t="inlineStr">
        <is>
          <t>TX-40</t>
        </is>
      </c>
      <c r="B52" s="16" t="inlineStr">
        <is>
          <t>D — Pesaje, depósito, conciliación y cierre</t>
        </is>
      </c>
      <c r="C52" s="16" t="inlineStr">
        <is>
          <t>Tomar la balanza TyS como válida (certificado INTI y control cruzado) y notificar la diferencia al puerto</t>
        </is>
      </c>
      <c r="D52" s="16" t="inlineStr">
        <is>
          <t>M-26</t>
        </is>
      </c>
      <c r="E52" s="16" t="inlineStr">
        <is>
          <t>—</t>
        </is>
      </c>
    </row>
    <row r="53" ht="25" customHeight="1">
      <c r="A53" s="8" t="inlineStr">
        <is>
          <t>TX-41</t>
        </is>
      </c>
      <c r="B53" s="9" t="inlineStr">
        <is>
          <t>D — Pesaje, depósito, conciliación y cierre</t>
        </is>
      </c>
      <c r="C53" s="9" t="inlineStr">
        <is>
          <t>Intervenir el excedente &gt; 4 % con la agencia marítima y el importador ante Aduana</t>
        </is>
      </c>
      <c r="D53" s="9" t="inlineStr">
        <is>
          <t>M-06 · M-21</t>
        </is>
      </c>
      <c r="E53" s="9" t="inlineStr">
        <is>
          <t>—</t>
        </is>
      </c>
    </row>
    <row r="54" ht="25" customHeight="1">
      <c r="A54" s="15" t="inlineStr">
        <is>
          <t>TX-42</t>
        </is>
      </c>
      <c r="B54" s="16" t="inlineStr">
        <is>
          <t>D — Pesaje, depósito, conciliación y cierre</t>
        </is>
      </c>
      <c r="C54" s="16" t="inlineStr">
        <is>
          <t>Cerrar el operativo: ajustar el stock del cliente (merma teórica 0,4 % urea / nitrogenados · 0,3 % fosforados) y liquidar el servicio</t>
        </is>
      </c>
      <c r="D54" s="16" t="inlineStr">
        <is>
          <t>M-16 · M-07 · M-03 · M-20</t>
        </is>
      </c>
      <c r="E54" s="16" t="inlineStr">
        <is>
          <t>EV-16</t>
        </is>
      </c>
    </row>
    <row r="55" ht="25" customHeight="1">
      <c r="A55" s="35" t="inlineStr">
        <is>
          <t>TX-43</t>
        </is>
      </c>
      <c r="B55" s="36" t="inlineStr">
        <is>
          <t>A — Nominación y contratación</t>
        </is>
      </c>
      <c r="C55" s="36" t="inlineStr">
        <is>
          <t>Registrar el arribo ferroviario (tren, vagones, toneladas, ventana) y vincularlo al servicio de recepción por ferrocarril (nuevo en v3.1)</t>
        </is>
      </c>
      <c r="D55" s="36" t="inlineStr">
        <is>
          <t>M-32 · M-06 · M-07 · M-09 · M-16</t>
        </is>
      </c>
      <c r="E55" s="36" t="inlineStr">
        <is>
          <t>EV-ARRIBO (si cambia un arribo ya vinculado)</t>
        </is>
      </c>
    </row>
    <row r="56" ht="25" customHeight="1">
      <c r="A56" s="35" t="inlineStr">
        <is>
          <t>TX-44</t>
        </is>
      </c>
      <c r="B56" s="36" t="inlineStr">
        <is>
          <t>C — Ejecución de la descarga y transporte</t>
        </is>
      </c>
      <c r="C56" s="36" t="inlineStr">
        <is>
          <t>Registrar los recursos efectivamente utilizados y compararlos con lo planificado: plan inicial · ajustes de Operaciones · realizado (nuevo en v3.1)</t>
        </is>
      </c>
      <c r="D56" s="36" t="inlineStr">
        <is>
          <t>M-05 · M-13 · M-12 · M-11 · M-27 · M-26 · M-33</t>
        </is>
      </c>
      <c r="E56" s="36" t="inlineStr">
        <is>
          <t>EV-PLANREAL</t>
        </is>
      </c>
    </row>
    <row r="57"/>
    <row r="58">
      <c r="A58" s="19" t="inlineStr">
        <is>
          <t>Eventos</t>
        </is>
      </c>
    </row>
    <row r="59">
      <c r="A59" s="20" t="inlineStr">
        <is>
          <t>EV</t>
        </is>
      </c>
      <c r="B59" s="20" t="inlineStr">
        <is>
          <t>Etapa</t>
        </is>
      </c>
      <c r="C59" s="20" t="inlineStr">
        <is>
          <t>Nombre</t>
        </is>
      </c>
      <c r="D59" s="20" t="inlineStr">
        <is>
          <t>Qué dispara</t>
        </is>
      </c>
    </row>
    <row r="60" ht="25" customHeight="1">
      <c r="A60" s="8" t="inlineStr">
        <is>
          <t>EV-01</t>
        </is>
      </c>
      <c r="B60" s="9" t="inlineStr">
        <is>
          <t>A</t>
        </is>
      </c>
      <c r="C60" s="9" t="inlineStr">
        <is>
          <t>Buque nominado</t>
        </is>
      </c>
      <c r="D60" s="9" t="inlineStr">
        <is>
          <t>LineUp · KPI de antelación del aviso</t>
        </is>
      </c>
    </row>
    <row r="61">
      <c r="A61" s="15" t="inlineStr">
        <is>
          <t>EV-02</t>
        </is>
      </c>
      <c r="B61" s="16" t="inlineStr">
        <is>
          <t>A</t>
        </is>
      </c>
      <c r="C61" s="16" t="inlineStr">
        <is>
          <t>Habilitación fiscal solicitada</t>
        </is>
      </c>
      <c r="D61" s="16" t="inlineStr">
        <is>
          <t>Alerta de vencimiento del trámite (M-21)</t>
        </is>
      </c>
    </row>
    <row r="62">
      <c r="A62" s="8" t="inlineStr">
        <is>
          <t>EV-03</t>
        </is>
      </c>
      <c r="B62" s="9" t="inlineStr">
        <is>
          <t>A</t>
        </is>
      </c>
      <c r="C62" s="9" t="inlineStr">
        <is>
          <t>Servicio designado</t>
        </is>
      </c>
      <c r="D62" s="9" t="inlineStr">
        <is>
          <t>Contrato / orden de tipo_servicio · devengamiento potencial</t>
        </is>
      </c>
    </row>
    <row r="63" ht="25" customHeight="1">
      <c r="A63" s="15" t="inlineStr">
        <is>
          <t>EV-04</t>
        </is>
      </c>
      <c r="B63" s="16" t="inlineStr">
        <is>
          <t>B</t>
        </is>
      </c>
      <c r="C63" s="16" t="inlineStr">
        <is>
          <t>Operativo abierto</t>
        </is>
      </c>
      <c r="D63" s="16" t="inlineStr">
        <is>
          <t>Apertura del objeto de costo (M-03)</t>
        </is>
      </c>
    </row>
    <row r="64">
      <c r="A64" s="8" t="inlineStr">
        <is>
          <t>EV-05</t>
        </is>
      </c>
      <c r="B64" s="9" t="inlineStr">
        <is>
          <t>B</t>
        </is>
      </c>
      <c r="C64" s="9" t="inlineStr">
        <is>
          <t>Destino y condición aduanera definidos</t>
        </is>
      </c>
      <c r="D64" s="9" t="inlineStr">
        <is>
          <t>Reserva de capacidad · validación regulatoria</t>
        </is>
      </c>
    </row>
    <row r="65" ht="25" customHeight="1">
      <c r="A65" s="15" t="inlineStr">
        <is>
          <t>EV-06</t>
        </is>
      </c>
      <c r="B65" s="16" t="inlineStr">
        <is>
          <t>B</t>
        </is>
      </c>
      <c r="C65" s="16" t="inlineStr">
        <is>
          <t>Descarga autorizada</t>
        </is>
      </c>
      <c r="D65" s="16" t="inlineStr">
        <is>
          <t>Habilita el inicio (TX-25) · KPI de espera en rada</t>
        </is>
      </c>
    </row>
    <row r="66">
      <c r="A66" s="8" t="inlineStr">
        <is>
          <t>EV-07</t>
        </is>
      </c>
      <c r="B66" s="9" t="inlineStr">
        <is>
          <t>B</t>
        </is>
      </c>
      <c r="C66" s="9" t="inlineStr">
        <is>
          <t>Recursos de estiba definidos</t>
        </is>
      </c>
      <c r="D66" s="9" t="inlineStr">
        <is>
          <t>Costo de mano (M-13) al operativo</t>
        </is>
      </c>
    </row>
    <row r="67" ht="25" customHeight="1">
      <c r="A67" s="15" t="inlineStr">
        <is>
          <t>EV-08</t>
        </is>
      </c>
      <c r="B67" s="16" t="inlineStr">
        <is>
          <t>B</t>
        </is>
      </c>
      <c r="C67" s="16" t="inlineStr">
        <is>
          <t>Plan de operativo aprobado</t>
        </is>
      </c>
      <c r="D67" s="16" t="inlineStr">
        <is>
          <t>Plan cerrado: flota, equipos, depósito, secuencia de bodegas</t>
        </is>
      </c>
    </row>
    <row r="68">
      <c r="A68" s="8" t="inlineStr">
        <is>
          <t>EV-09</t>
        </is>
      </c>
      <c r="B68" s="9" t="inlineStr">
        <is>
          <t>C</t>
        </is>
      </c>
      <c r="C68" s="9" t="inlineStr">
        <is>
          <t>Descarga iniciada</t>
        </is>
      </c>
      <c r="D68" s="9" t="inlineStr">
        <is>
          <t>Inicio de estadía y de los partes por turno</t>
        </is>
      </c>
    </row>
    <row r="69">
      <c r="A69" s="15" t="inlineStr">
        <is>
          <t>EV-10</t>
        </is>
      </c>
      <c r="B69" s="16" t="inlineStr">
        <is>
          <t>C</t>
        </is>
      </c>
      <c r="C69" s="16" t="inlineStr">
        <is>
          <t>Turno de descarga cerrado</t>
        </is>
      </c>
      <c r="D69" s="16" t="inlineStr">
        <is>
          <t>Costo de mano y equipo del turno · rendimiento vs. parámetro · causas</t>
        </is>
      </c>
    </row>
    <row r="70">
      <c r="A70" s="8" t="inlineStr">
        <is>
          <t>EV-11</t>
        </is>
      </c>
      <c r="B70" s="9" t="inlineStr">
        <is>
          <t>C</t>
        </is>
      </c>
      <c r="C70" s="9" t="inlineStr">
        <is>
          <t>Descarga del buque finalizada</t>
        </is>
      </c>
      <c r="D70" s="9" t="inlineStr">
        <is>
          <t>Fin de estadía · liberación de muelle</t>
        </is>
      </c>
    </row>
    <row r="71">
      <c r="A71" s="15" t="inlineStr">
        <is>
          <t>EV-12</t>
        </is>
      </c>
      <c r="B71" s="16" t="inlineStr">
        <is>
          <t>C</t>
        </is>
      </c>
      <c r="C71" s="16" t="inlineStr">
        <is>
          <t>Desvío logístico detectado</t>
        </is>
      </c>
      <c r="D71" s="16" t="inlineStr">
        <is>
          <t>Alerta y causa de demora (M-29)</t>
        </is>
      </c>
    </row>
    <row r="72">
      <c r="A72" s="8" t="inlineStr">
        <is>
          <t>EV-13</t>
        </is>
      </c>
      <c r="B72" s="9" t="inlineStr">
        <is>
          <t>C</t>
        </is>
      </c>
      <c r="C72" s="9" t="inlineStr">
        <is>
          <t>Carta de protesto emitida</t>
        </is>
      </c>
      <c r="D72" s="9" t="inlineStr">
        <is>
          <t>Reclamo al buque / agencia (M-21)</t>
        </is>
      </c>
    </row>
    <row r="73" ht="25" customHeight="1">
      <c r="A73" s="15" t="inlineStr">
        <is>
          <t>EV-14</t>
        </is>
      </c>
      <c r="B73" s="16" t="inlineStr">
        <is>
          <t>D</t>
        </is>
      </c>
      <c r="C73" s="16" t="inlineStr">
        <is>
          <t>Pesada fiscal registrada</t>
        </is>
      </c>
      <c r="D73" s="16" t="inlineStr">
        <is>
          <t>Ticket fiscal · cola de balanza</t>
        </is>
      </c>
    </row>
    <row r="74">
      <c r="A74" s="8" t="inlineStr">
        <is>
          <t>EV-15</t>
        </is>
      </c>
      <c r="B74" s="9" t="inlineStr">
        <is>
          <t>D</t>
        </is>
      </c>
      <c r="C74" s="9" t="inlineStr">
        <is>
          <t>Ingreso a depósito registrado</t>
        </is>
      </c>
      <c r="D74" s="9" t="inlineStr">
        <is>
          <t>Stock por ubicación y lote · ocupación del box</t>
        </is>
      </c>
    </row>
    <row r="75">
      <c r="A75" s="15" t="inlineStr">
        <is>
          <t>EV-16</t>
        </is>
      </c>
      <c r="B75" s="16" t="inlineStr">
        <is>
          <t>D</t>
        </is>
      </c>
      <c r="C75" s="16" t="inlineStr">
        <is>
          <t>Operativo cerrado · stock ajustado</t>
        </is>
      </c>
      <c r="D75" s="16" t="inlineStr">
        <is>
          <t>Registración contable · facturación · analítica · margen por operativo</t>
        </is>
      </c>
    </row>
    <row r="76">
      <c r="A76" s="8" t="inlineStr">
        <is>
          <t>EV-17</t>
        </is>
      </c>
      <c r="B76" s="9" t="inlineStr">
        <is>
          <t>SP-1</t>
        </is>
      </c>
      <c r="C76" s="9" t="inlineStr">
        <is>
          <t>Destino de acopio asignado</t>
        </is>
      </c>
      <c r="D76" s="9" t="inlineStr">
        <is>
          <t>Cierra el subproceso y vuelve a TX-23</t>
        </is>
      </c>
    </row>
    <row r="77">
      <c r="A77" s="35" t="inlineStr">
        <is>
          <t>EV-ADU</t>
        </is>
      </c>
      <c r="B77" s="36" t="inlineStr">
        <is>
          <t>A</t>
        </is>
      </c>
      <c r="C77" s="36" t="inlineStr">
        <is>
          <t>Estado aduanero de la mercadería definido (nacionalizada / no nacionalizada)</t>
        </is>
      </c>
      <c r="D77" s="36" t="inlineStr">
        <is>
          <t>Filtro fiscal en DEPÓSITO y BALANZA · trámite ante Aduana (A4)</t>
        </is>
      </c>
    </row>
    <row r="78">
      <c r="A78" s="35" t="inlineStr">
        <is>
          <t>EV-ARRIBO</t>
        </is>
      </c>
      <c r="B78" s="36" t="inlineStr">
        <is>
          <t>—</t>
        </is>
      </c>
      <c r="C78" s="36" t="inlineStr">
        <is>
          <t>Cambio en el arribo ferroviario propagado al operativo</t>
        </is>
      </c>
      <c r="D78" s="36" t="inlineStr">
        <is>
          <t>Revalidación de tareas · trazabilidad</t>
        </is>
      </c>
    </row>
    <row r="79">
      <c r="A79" s="35" t="inlineStr">
        <is>
          <t>EV-PLANREAL</t>
        </is>
      </c>
      <c r="B79" s="36" t="inlineStr">
        <is>
          <t>C · D</t>
        </is>
      </c>
      <c r="C79" s="36" t="inlineStr">
        <is>
          <t>Comparativa planificado vs. efectivamente realizado registrada</t>
        </is>
      </c>
      <c r="D79" s="36" t="inlineStr">
        <is>
          <t>KPI de desvío plan vs. real · aprendizaje de las reglas</t>
        </is>
      </c>
    </row>
    <row r="80">
      <c r="A80" s="35" t="inlineStr">
        <is>
          <t>EV-MS</t>
        </is>
      </c>
      <c r="B80" s="36" t="inlineStr">
        <is>
          <t>—</t>
        </is>
      </c>
      <c r="C80" s="36" t="inlineStr">
        <is>
          <t>Método seguro vencido / por vencer: recursos afectados</t>
        </is>
      </c>
      <c r="D80" s="36" t="inlineStr">
        <is>
          <t>Alerta a Seguridad e Higiene y al sector dueño · recursos sin disponibilidad</t>
        </is>
      </c>
    </row>
  </sheetData>
  <mergeCells count="1">
    <mergeCell ref="A2:E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2026-09-09T03:23:57Z</dcterms:created>
  <dcterms:modified xmlns:dcterms="http://purl.org/dc/terms/" xmlns:xsi="http://www.w3.org/2001/XMLSchema-instance" xsi:type="dcterms:W3CDTF">2026-09-15T01:16:45Z</dcterms:modified>
  <cp:lastModifiedBy>Cristian DAnunzio</cp:lastModifiedBy>
  <cp:revision>0</cp:revision>
</cp:coreProperties>
</file>